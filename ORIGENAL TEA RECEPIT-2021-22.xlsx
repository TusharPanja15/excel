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75" windowWidth="15255" windowHeight="7935" firstSheet="5" activeTab="8"/>
  </bookViews>
  <sheets>
    <sheet name="APRIL 21-22" sheetId="43" r:id="rId1"/>
    <sheet name="MAY 21-22 (2)" sheetId="41" r:id="rId2"/>
    <sheet name="JUNE 21-22 (2)" sheetId="42" r:id="rId3"/>
    <sheet name="JULY 21-22" sheetId="38" r:id="rId4"/>
    <sheet name="AUGUST 21-22" sheetId="40" r:id="rId5"/>
    <sheet name="SEPTEMBER 21-22" sheetId="44" r:id="rId6"/>
    <sheet name="OCTOBER 21-22 " sheetId="46" r:id="rId7"/>
    <sheet name="NOVEMBER 21-22" sheetId="47" r:id="rId8"/>
    <sheet name="DECEMBER 21-22" sheetId="48" r:id="rId9"/>
    <sheet name="Sheet1" sheetId="39" r:id="rId10"/>
  </sheets>
  <definedNames>
    <definedName name="_xlnm._FilterDatabase" localSheetId="0" hidden="1">'APRIL 21-22'!$A$3:$M$23</definedName>
    <definedName name="_xlnm._FilterDatabase" localSheetId="4" hidden="1">'AUGUST 21-22'!$A$3:$M$23</definedName>
    <definedName name="_xlnm._FilterDatabase" localSheetId="8" hidden="1">'DECEMBER 21-22'!$A$3:$M$23</definedName>
    <definedName name="_xlnm._FilterDatabase" localSheetId="3" hidden="1">'JULY 21-22'!$A$3:$M$23</definedName>
    <definedName name="_xlnm._FilterDatabase" localSheetId="2" hidden="1">'JUNE 21-22 (2)'!$A$3:$M$23</definedName>
    <definedName name="_xlnm._FilterDatabase" localSheetId="1" hidden="1">'MAY 21-22 (2)'!$A$3:$M$23</definedName>
    <definedName name="_xlnm._FilterDatabase" localSheetId="7" hidden="1">'NOVEMBER 21-22'!$A$3:$M$23</definedName>
    <definedName name="_xlnm._FilterDatabase" localSheetId="6" hidden="1">'OCTOBER 21-22 '!$A$3:$M$23</definedName>
    <definedName name="_xlnm._FilterDatabase" localSheetId="5" hidden="1">'SEPTEMBER 21-22'!$A$3:$M$23</definedName>
    <definedName name="_xlnm._FilterDatabase" localSheetId="9" hidden="1">Sheet1!$A$2:$E$37</definedName>
  </definedNames>
  <calcPr calcId="125725"/>
</workbook>
</file>

<file path=xl/calcChain.xml><?xml version="1.0" encoding="utf-8"?>
<calcChain xmlns="http://schemas.openxmlformats.org/spreadsheetml/2006/main">
  <c r="I34" i="48"/>
  <c r="H34"/>
  <c r="G34"/>
  <c r="I34" i="47"/>
  <c r="H34"/>
  <c r="G34"/>
  <c r="I34" i="46"/>
  <c r="H34"/>
  <c r="G34"/>
  <c r="I34" i="44"/>
  <c r="H34"/>
  <c r="G34"/>
  <c r="I34" i="43"/>
  <c r="H34"/>
  <c r="G34"/>
  <c r="I34" i="42"/>
  <c r="H34"/>
  <c r="G34"/>
  <c r="I34" i="41"/>
  <c r="H34"/>
  <c r="G34"/>
  <c r="I34" i="40" l="1"/>
  <c r="H34"/>
  <c r="G34"/>
  <c r="E39" i="39"/>
  <c r="D39"/>
  <c r="E15" l="1"/>
  <c r="D15"/>
  <c r="D13"/>
  <c r="E13"/>
  <c r="E37"/>
  <c r="D37"/>
  <c r="E35"/>
  <c r="D35"/>
  <c r="E33"/>
  <c r="D33"/>
  <c r="E31" l="1"/>
  <c r="D31"/>
  <c r="E29"/>
  <c r="D29"/>
  <c r="E11"/>
  <c r="D11"/>
  <c r="E8"/>
  <c r="D8"/>
  <c r="E5"/>
  <c r="D5"/>
  <c r="I34" i="38"/>
  <c r="H34"/>
  <c r="G34"/>
  <c r="E41" i="39" l="1"/>
  <c r="D41"/>
</calcChain>
</file>

<file path=xl/sharedStrings.xml><?xml version="1.0" encoding="utf-8"?>
<sst xmlns="http://schemas.openxmlformats.org/spreadsheetml/2006/main" count="605" uniqueCount="267">
  <si>
    <t xml:space="preserve">NAME OF THE PARTEY </t>
  </si>
  <si>
    <t>BAGS</t>
  </si>
  <si>
    <t>QUANTITY</t>
  </si>
  <si>
    <t>AMOUNT</t>
  </si>
  <si>
    <t>FORM 38 NO.</t>
  </si>
  <si>
    <t>TRUCK NO.</t>
  </si>
  <si>
    <t>DATE OF ARRIVAL</t>
  </si>
  <si>
    <t>INVIOVE DATE</t>
  </si>
  <si>
    <t>INVIOCE NO.</t>
  </si>
  <si>
    <t>PLACE OF PURCHSES</t>
  </si>
  <si>
    <t>SALE  NO.</t>
  </si>
  <si>
    <t>ARRIVEL  NO.</t>
  </si>
  <si>
    <t>SHORT/EXCES</t>
  </si>
  <si>
    <t>TOTAL ORIGANAL TEA RECEVID OF APRIL 2021-22</t>
  </si>
  <si>
    <t>03.08.2021</t>
  </si>
  <si>
    <t>21.07.2021</t>
  </si>
  <si>
    <t>GS/172/21-22</t>
  </si>
  <si>
    <t>SKIKARPUR &amp; BHANDAPUR TEA ESTATES PVT.LTD.</t>
  </si>
  <si>
    <t>SLG</t>
  </si>
  <si>
    <t>PVT</t>
  </si>
  <si>
    <t>001</t>
  </si>
  <si>
    <t>DIANA TEA COMPANY LTD.</t>
  </si>
  <si>
    <t>G/I/0066/21-22</t>
  </si>
  <si>
    <t>22.07.2021</t>
  </si>
  <si>
    <t>WB-73-E-9830</t>
  </si>
  <si>
    <t>RANICHERA TEA COMPANY LTD.</t>
  </si>
  <si>
    <t>RTFAC/TI116/2122</t>
  </si>
  <si>
    <t>ORIGANAL TEA RECEIVED FOR THE MONTH OF AUGUST 2021-22</t>
  </si>
  <si>
    <t>09.08.2021</t>
  </si>
  <si>
    <t>SLG/T/21-22/002</t>
  </si>
  <si>
    <t>PATAKA  INDUSTRIES PVT.LTD.</t>
  </si>
  <si>
    <t>NL-01-AE-1039</t>
  </si>
  <si>
    <t>002</t>
  </si>
  <si>
    <t>12.08.2021</t>
  </si>
  <si>
    <t>SLG/T/21-22/001</t>
  </si>
  <si>
    <t>003</t>
  </si>
  <si>
    <t>HR-38-R-9907</t>
  </si>
  <si>
    <t>BTE/159/2122</t>
  </si>
  <si>
    <t>THE BELGACHI TEA CO. LTD.</t>
  </si>
  <si>
    <t>004</t>
  </si>
  <si>
    <t>04.08.2021</t>
  </si>
  <si>
    <t>MTCSLG/209/21-22</t>
  </si>
  <si>
    <t>MOGULKATA TEA COMPANY (PVT) LTD.</t>
  </si>
  <si>
    <t>GST/CTC/50/21-22</t>
  </si>
  <si>
    <t>DEBIJHORA TEA CO. LTD.</t>
  </si>
  <si>
    <t>16.08.2021</t>
  </si>
  <si>
    <t>BTI/205/21-22</t>
  </si>
  <si>
    <t>BHARNOBARI TEA AND INDUSTRIES LTD.</t>
  </si>
  <si>
    <t>NL-01-AE-1037</t>
  </si>
  <si>
    <t>005</t>
  </si>
  <si>
    <t>SY/0295/21-22</t>
  </si>
  <si>
    <t>SYLEE TEA ESTATE P LTD.</t>
  </si>
  <si>
    <t>NS/0197/2021-22</t>
  </si>
  <si>
    <t>NYASLYEE TEA ESTSTE P LTD.</t>
  </si>
  <si>
    <t>07.08.2021</t>
  </si>
  <si>
    <t>LTE/319/21-22</t>
  </si>
  <si>
    <t>GIRIRAJ PLANTATIONS PVT.LTD.</t>
  </si>
  <si>
    <t>LTE/325/21-22</t>
  </si>
  <si>
    <t>19.08.2021</t>
  </si>
  <si>
    <t>10.08.2021</t>
  </si>
  <si>
    <t>SLG/T/21-22/003</t>
  </si>
  <si>
    <t>CG-04-JD-0392</t>
  </si>
  <si>
    <t>006</t>
  </si>
  <si>
    <t>23.08.2021</t>
  </si>
  <si>
    <t>SLG/T/21-22/004</t>
  </si>
  <si>
    <t>13.08.2021</t>
  </si>
  <si>
    <t>RTSLG/TI022/2122</t>
  </si>
  <si>
    <t>RANICHERRA TEA CO. LTD.</t>
  </si>
  <si>
    <t>RTFAC/TI138/2122</t>
  </si>
  <si>
    <t>WB-73-C-4212</t>
  </si>
  <si>
    <t>007</t>
  </si>
  <si>
    <t>24.08.2021</t>
  </si>
  <si>
    <t>17.08.2021</t>
  </si>
  <si>
    <t>SLG/T/20-21/005</t>
  </si>
  <si>
    <t>HR-38-Z-5523</t>
  </si>
  <si>
    <t>008</t>
  </si>
  <si>
    <t>27.08.2021</t>
  </si>
  <si>
    <t>26.08.2021</t>
  </si>
  <si>
    <t>31.07.2021</t>
  </si>
  <si>
    <t>GST/033/21-22</t>
  </si>
  <si>
    <t>CENTRAL TEA CO.</t>
  </si>
  <si>
    <t>GUW</t>
  </si>
  <si>
    <t>NL-01-AE-0488</t>
  </si>
  <si>
    <t>009</t>
  </si>
  <si>
    <t>SLG/T/21-22/006</t>
  </si>
  <si>
    <t>UP-14-GT-5801</t>
  </si>
  <si>
    <t>010</t>
  </si>
  <si>
    <t>Arrival Date</t>
  </si>
  <si>
    <t>Place</t>
  </si>
  <si>
    <t xml:space="preserve">Sale No. </t>
  </si>
  <si>
    <t>Pkg.</t>
  </si>
  <si>
    <t>Total</t>
  </si>
  <si>
    <t>Old Stock</t>
  </si>
  <si>
    <t>Total Original Tea Stock</t>
  </si>
  <si>
    <t>KOL</t>
  </si>
  <si>
    <t>05</t>
  </si>
  <si>
    <t>Sale No. Wise as on 28.08.2021-22</t>
  </si>
  <si>
    <t>20.10.2021</t>
  </si>
  <si>
    <t>08.10.2021</t>
  </si>
  <si>
    <t>GST/049/21-22</t>
  </si>
  <si>
    <t>NL-01-AB-6606</t>
  </si>
  <si>
    <t>25.10.2021</t>
  </si>
  <si>
    <t>18.10.2021</t>
  </si>
  <si>
    <t>SLG/T/21-22/014</t>
  </si>
  <si>
    <t>UP-14-GT-3005</t>
  </si>
  <si>
    <t>BTI/339/21-22</t>
  </si>
  <si>
    <t>MP-09-HH-5748</t>
  </si>
  <si>
    <t>NS/0284/2021-22</t>
  </si>
  <si>
    <t>NYASYLEE TEA ESTATE PVT LTD.</t>
  </si>
  <si>
    <t>NGRKT</t>
  </si>
  <si>
    <t>30.08.2021</t>
  </si>
  <si>
    <t>SLG/T/21-22/008</t>
  </si>
  <si>
    <t>MP-09HH-5748</t>
  </si>
  <si>
    <t>02.09.2021</t>
  </si>
  <si>
    <t>SLG/T/21-22/007</t>
  </si>
  <si>
    <t>PATAKA INDUSTRIES PVT. LTD.</t>
  </si>
  <si>
    <t>HR-55-N-8115</t>
  </si>
  <si>
    <t>06.09.2021</t>
  </si>
  <si>
    <t>14.08.2021</t>
  </si>
  <si>
    <t>GST/040/21-22</t>
  </si>
  <si>
    <t>UDDHAV TEA PVT. LTD.</t>
  </si>
  <si>
    <t>HR-55-R-3417</t>
  </si>
  <si>
    <t>11.09.2021</t>
  </si>
  <si>
    <t>22.08.2021</t>
  </si>
  <si>
    <t>GST/046/21-22</t>
  </si>
  <si>
    <t>26.09.2021</t>
  </si>
  <si>
    <t>22.09.2021</t>
  </si>
  <si>
    <t>TEA/21-22/020</t>
  </si>
  <si>
    <t>NL-01-AD-8734</t>
  </si>
  <si>
    <t>29.09.2021</t>
  </si>
  <si>
    <t>20.09.2021</t>
  </si>
  <si>
    <t>SLG/T/21-22/009</t>
  </si>
  <si>
    <t>UP-17-AT-1848</t>
  </si>
  <si>
    <t>04.09.2021</t>
  </si>
  <si>
    <t>GST/060/21-22</t>
  </si>
  <si>
    <t>05.10.2021</t>
  </si>
  <si>
    <t>27.09.2021</t>
  </si>
  <si>
    <t>SLG/T/21-22/010</t>
  </si>
  <si>
    <t>UP-14-GT-7271</t>
  </si>
  <si>
    <t>06.10.2021</t>
  </si>
  <si>
    <t>SLG/T/21-22/011</t>
  </si>
  <si>
    <t>UP-73-A-5149</t>
  </si>
  <si>
    <t>12.10.2021</t>
  </si>
  <si>
    <t>SLG/T/21-22/012</t>
  </si>
  <si>
    <t>HR-55-AG-1586</t>
  </si>
  <si>
    <t>13.10.2021</t>
  </si>
  <si>
    <t>SLG/T/21-22/013</t>
  </si>
  <si>
    <t>UP-14-JT-9408</t>
  </si>
  <si>
    <t>26.10.2021</t>
  </si>
  <si>
    <t>SLG/T/21-22/015</t>
  </si>
  <si>
    <t>HR-69-D-6219</t>
  </si>
  <si>
    <t>ORIGANAL TEA RECEIVED FOR THE MONTH OF SEPTEMBER 2021-22</t>
  </si>
  <si>
    <t>ORIGANAL TEA RECEIVED FOR THE MONTH OF OCTOBER 2021-22</t>
  </si>
  <si>
    <t>13.09.2021</t>
  </si>
  <si>
    <t>SY/0313/2021-22</t>
  </si>
  <si>
    <t>SYLEE TEA ESTATE (P) LTD.</t>
  </si>
  <si>
    <t>NL-01-AE-1041</t>
  </si>
  <si>
    <t>DTE/327/21-22</t>
  </si>
  <si>
    <t>THE BENGAL DOOARS NATIONAL TEA CO. LTD</t>
  </si>
  <si>
    <t>20.08.2021</t>
  </si>
  <si>
    <t>BTI/245/21.22</t>
  </si>
  <si>
    <t>SLT</t>
  </si>
  <si>
    <t>BTI/335/21-22</t>
  </si>
  <si>
    <t>16.10.2021</t>
  </si>
  <si>
    <t>25.09.2021</t>
  </si>
  <si>
    <t>GST/054/21-22</t>
  </si>
  <si>
    <t>VINAYAK ENTERPRISES</t>
  </si>
  <si>
    <t>GST/055/21-22</t>
  </si>
  <si>
    <t>UP-17-T-9835</t>
  </si>
  <si>
    <t>18.09.2021</t>
  </si>
  <si>
    <t>GST/073/21-22</t>
  </si>
  <si>
    <t>DL-01-GC-4535</t>
  </si>
  <si>
    <t>01.11.2021</t>
  </si>
  <si>
    <t>09.10.2021</t>
  </si>
  <si>
    <t>GST/071/21-22</t>
  </si>
  <si>
    <t>HR-55-K-8238</t>
  </si>
  <si>
    <t>02.11.2021</t>
  </si>
  <si>
    <t>02.10.2021</t>
  </si>
  <si>
    <t>GST/064/21-22</t>
  </si>
  <si>
    <t>HR-38-AA-3878</t>
  </si>
  <si>
    <t>06.11.2021</t>
  </si>
  <si>
    <t>GST/072/21-22</t>
  </si>
  <si>
    <t>HR-55-AB-2798</t>
  </si>
  <si>
    <t>08.11.2021</t>
  </si>
  <si>
    <t>SLG/T/21-222/017</t>
  </si>
  <si>
    <t>29.10.2021</t>
  </si>
  <si>
    <t>DTE/455/21-22</t>
  </si>
  <si>
    <t>THE BENGAL DOOARS NATIONAL TEA CO. LTD.</t>
  </si>
  <si>
    <t>SY/0468/2021-22</t>
  </si>
  <si>
    <t>23.10.2021</t>
  </si>
  <si>
    <t>BTI/361/21-22</t>
  </si>
  <si>
    <t>27.10.2021</t>
  </si>
  <si>
    <t>SINV-462/21</t>
  </si>
  <si>
    <t>CHENGMARI TEA CO. LTD.</t>
  </si>
  <si>
    <t>HR-55-AG-5937</t>
  </si>
  <si>
    <t>09.11.2021</t>
  </si>
  <si>
    <t>SLG/T/21-22/016</t>
  </si>
  <si>
    <t>HR-38-S-1465</t>
  </si>
  <si>
    <t>30.10.2021</t>
  </si>
  <si>
    <t>JAFI000153</t>
  </si>
  <si>
    <t>JAY SHRI TEA &amp; INDUSTRIES LTD</t>
  </si>
  <si>
    <t>D.K STATEMENT -2021-22.xlsx</t>
  </si>
  <si>
    <t>PACKING MATEREILS STATEMENT-2021-22.xlsx</t>
  </si>
  <si>
    <t>ORIGENAL TEA INPUT &amp; BLEND OUTPUT SYESTEM- 2021-22.xlsx</t>
  </si>
  <si>
    <t>ORIGENAL TEA RECEPIT-2021-22.xlsx</t>
  </si>
  <si>
    <t>PMT RECEPIT-2021-22.xlsx</t>
  </si>
  <si>
    <t>BLENDED TEA STOCK REGISTER 2021-22.xlsx</t>
  </si>
  <si>
    <t>SALE BILL REPORT 2021-22.xlsx</t>
  </si>
  <si>
    <t>13.11.2021</t>
  </si>
  <si>
    <t>GST/062/21-22</t>
  </si>
  <si>
    <t>CENTRAL TEA COMPANY</t>
  </si>
  <si>
    <t>UP-17-AT-7154</t>
  </si>
  <si>
    <t>15.11.2021</t>
  </si>
  <si>
    <t>GST/063/21-22</t>
  </si>
  <si>
    <t>16.11.2021</t>
  </si>
  <si>
    <t>SLG/T/21-22/018</t>
  </si>
  <si>
    <t>SLG/T/21-22/19</t>
  </si>
  <si>
    <t>DTE/479/21-22</t>
  </si>
  <si>
    <t>UP-14-GT-7270</t>
  </si>
  <si>
    <t>20.11.2021</t>
  </si>
  <si>
    <t>SLG/T/21-22/022</t>
  </si>
  <si>
    <t>22.11.2021</t>
  </si>
  <si>
    <t>SLG/T/21-22/021</t>
  </si>
  <si>
    <t>LTE/600/21-22</t>
  </si>
  <si>
    <t>GIRIRAJ PLANTATIONS PVT. LTD.</t>
  </si>
  <si>
    <t>23.11.2021</t>
  </si>
  <si>
    <t>GST/075/21-22</t>
  </si>
  <si>
    <t>UP-17-AT-6978</t>
  </si>
  <si>
    <t>24/11.2021</t>
  </si>
  <si>
    <t>31.10.2021</t>
  </si>
  <si>
    <t>TTPL/064/K/21-22</t>
  </si>
  <si>
    <t>TEWARI TEA TRADING PVT LTD</t>
  </si>
  <si>
    <t>HR-61-D-0671</t>
  </si>
  <si>
    <t>26.11.2021</t>
  </si>
  <si>
    <t>05.11.2021</t>
  </si>
  <si>
    <t>GDT/091/21-22</t>
  </si>
  <si>
    <t>8KG</t>
  </si>
  <si>
    <t>27.11.2021</t>
  </si>
  <si>
    <t>SLG/T/020/21-22</t>
  </si>
  <si>
    <t>19.11.2021</t>
  </si>
  <si>
    <t>BTI/411/21-22</t>
  </si>
  <si>
    <t>ORIGANAL TEA RECEIVED FOR THE MONTH OF NOVEMVER 2021-22</t>
  </si>
  <si>
    <t>ORIGANAL TEA RECEIVED FOR THE MONTH OF DECEMBER 2021-22</t>
  </si>
  <si>
    <t>01.12.2021</t>
  </si>
  <si>
    <t>24.11.2021</t>
  </si>
  <si>
    <t>SLG/T/024/21-22</t>
  </si>
  <si>
    <t>02.12.2021</t>
  </si>
  <si>
    <t>GST/092/21-22</t>
  </si>
  <si>
    <t>RJ-14-GL-8475</t>
  </si>
  <si>
    <t>29.11.2021</t>
  </si>
  <si>
    <t>TTC/107/K/21-22</t>
  </si>
  <si>
    <t>TTC/098/K/21-22</t>
  </si>
  <si>
    <t>TEWARI TEA CORPORATION</t>
  </si>
  <si>
    <t>NL-01-Q-1974</t>
  </si>
  <si>
    <t>04.12.2021</t>
  </si>
  <si>
    <t>SLG/T/026/21-22</t>
  </si>
  <si>
    <t>UP-14-GT-7010</t>
  </si>
  <si>
    <t>SLG/028/21-22</t>
  </si>
  <si>
    <t>HR-55-Q-1825</t>
  </si>
  <si>
    <t>06.12.2021</t>
  </si>
  <si>
    <t>GST/083/21-22</t>
  </si>
  <si>
    <t>UP-17-T-8115</t>
  </si>
  <si>
    <t>07.12.2021</t>
  </si>
  <si>
    <t>GST/084/21-22</t>
  </si>
  <si>
    <t>HR-55-T-8883</t>
  </si>
  <si>
    <t>SLG/T/21-22/027</t>
  </si>
  <si>
    <t>HR-55-R-9647</t>
  </si>
</sst>
</file>

<file path=xl/styles.xml><?xml version="1.0" encoding="utf-8"?>
<styleSheet xmlns="http://schemas.openxmlformats.org/spreadsheetml/2006/main">
  <fonts count="15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2"/>
      <name val="Calibri"/>
      <family val="2"/>
      <scheme val="minor"/>
    </font>
    <font>
      <sz val="11"/>
      <name val="Calibri"/>
      <family val="2"/>
      <scheme val="minor"/>
    </font>
    <font>
      <b/>
      <i/>
      <sz val="1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0"/>
      <name val="Calibri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</cellStyleXfs>
  <cellXfs count="120">
    <xf numFmtId="0" fontId="0" fillId="0" borderId="0" xfId="0"/>
    <xf numFmtId="1" fontId="2" fillId="0" borderId="9" xfId="0" applyNumberFormat="1" applyFont="1" applyBorder="1" applyAlignment="1">
      <alignment horizontal="center" vertical="center"/>
    </xf>
    <xf numFmtId="0" fontId="2" fillId="0" borderId="14" xfId="0" applyNumberFormat="1" applyFont="1" applyBorder="1" applyAlignment="1">
      <alignment horizontal="center" vertical="center"/>
    </xf>
    <xf numFmtId="0" fontId="2" fillId="0" borderId="9" xfId="0" applyNumberFormat="1" applyFont="1" applyBorder="1" applyAlignment="1">
      <alignment horizontal="center" vertical="center"/>
    </xf>
    <xf numFmtId="0" fontId="2" fillId="0" borderId="8" xfId="0" applyNumberFormat="1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0" fontId="2" fillId="0" borderId="2" xfId="0" applyNumberFormat="1" applyFont="1" applyBorder="1" applyAlignment="1">
      <alignment horizontal="center" vertical="center"/>
    </xf>
    <xf numFmtId="0" fontId="2" fillId="0" borderId="3" xfId="0" applyNumberFormat="1" applyFont="1" applyBorder="1" applyAlignment="1">
      <alignment horizontal="center" vertical="center"/>
    </xf>
    <xf numFmtId="2" fontId="2" fillId="0" borderId="9" xfId="0" applyNumberFormat="1" applyFont="1" applyBorder="1" applyAlignment="1">
      <alignment horizontal="right" vertical="center"/>
    </xf>
    <xf numFmtId="2" fontId="2" fillId="0" borderId="2" xfId="0" applyNumberFormat="1" applyFont="1" applyBorder="1" applyAlignment="1">
      <alignment horizontal="right" vertical="center"/>
    </xf>
    <xf numFmtId="0" fontId="2" fillId="0" borderId="9" xfId="0" quotePrefix="1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0" fontId="2" fillId="0" borderId="8" xfId="0" applyNumberFormat="1" applyFont="1" applyBorder="1" applyAlignment="1">
      <alignment horizontal="left" vertical="center"/>
    </xf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center" vertical="center"/>
    </xf>
    <xf numFmtId="0" fontId="1" fillId="0" borderId="5" xfId="0" applyNumberFormat="1" applyFont="1" applyBorder="1" applyAlignment="1">
      <alignment horizontal="center"/>
    </xf>
    <xf numFmtId="0" fontId="1" fillId="0" borderId="12" xfId="0" applyNumberFormat="1" applyFont="1" applyBorder="1" applyAlignment="1">
      <alignment horizontal="center"/>
    </xf>
    <xf numFmtId="0" fontId="4" fillId="0" borderId="7" xfId="0" applyNumberFormat="1" applyFont="1" applyBorder="1" applyAlignment="1">
      <alignment horizontal="center"/>
    </xf>
    <xf numFmtId="0" fontId="4" fillId="0" borderId="7" xfId="0" applyNumberFormat="1" applyFont="1" applyBorder="1" applyAlignment="1">
      <alignment horizontal="center" vertical="center"/>
    </xf>
    <xf numFmtId="0" fontId="4" fillId="0" borderId="13" xfId="0" applyNumberFormat="1" applyFont="1" applyBorder="1" applyAlignment="1">
      <alignment horizontal="center"/>
    </xf>
    <xf numFmtId="2" fontId="4" fillId="0" borderId="0" xfId="0" applyNumberFormat="1" applyFont="1" applyAlignment="1">
      <alignment horizontal="right" vertical="center"/>
    </xf>
    <xf numFmtId="0" fontId="1" fillId="0" borderId="7" xfId="0" applyNumberFormat="1" applyFont="1" applyBorder="1" applyAlignment="1">
      <alignment horizontal="center" vertical="center"/>
    </xf>
    <xf numFmtId="2" fontId="1" fillId="0" borderId="7" xfId="0" applyNumberFormat="1" applyFont="1" applyBorder="1" applyAlignment="1">
      <alignment horizontal="right" vertical="center"/>
    </xf>
    <xf numFmtId="2" fontId="5" fillId="0" borderId="0" xfId="0" applyNumberFormat="1" applyFont="1" applyAlignment="1">
      <alignment horizontal="right" vertical="center"/>
    </xf>
    <xf numFmtId="0" fontId="1" fillId="0" borderId="11" xfId="0" applyNumberFormat="1" applyFont="1" applyBorder="1" applyAlignment="1">
      <alignment horizontal="center"/>
    </xf>
    <xf numFmtId="2" fontId="2" fillId="0" borderId="19" xfId="0" applyNumberFormat="1" applyFont="1" applyBorder="1" applyAlignment="1">
      <alignment horizontal="right" vertical="center"/>
    </xf>
    <xf numFmtId="1" fontId="2" fillId="0" borderId="19" xfId="0" applyNumberFormat="1" applyFont="1" applyBorder="1" applyAlignment="1">
      <alignment horizontal="center" vertical="center"/>
    </xf>
    <xf numFmtId="0" fontId="1" fillId="0" borderId="23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8" fillId="0" borderId="28" xfId="0" applyFont="1" applyBorder="1" applyAlignment="1">
      <alignment horizontal="left"/>
    </xf>
    <xf numFmtId="0" fontId="6" fillId="0" borderId="10" xfId="0" applyFont="1" applyBorder="1" applyAlignment="1">
      <alignment horizontal="center"/>
    </xf>
    <xf numFmtId="0" fontId="7" fillId="0" borderId="27" xfId="0" applyNumberFormat="1" applyFont="1" applyBorder="1" applyAlignment="1">
      <alignment horizontal="left" vertical="center"/>
    </xf>
    <xf numFmtId="0" fontId="7" fillId="0" borderId="25" xfId="0" applyNumberFormat="1" applyFont="1" applyBorder="1" applyAlignment="1">
      <alignment horizontal="left" vertical="center"/>
    </xf>
    <xf numFmtId="0" fontId="6" fillId="0" borderId="26" xfId="0" applyFont="1" applyBorder="1" applyAlignment="1">
      <alignment horizontal="left"/>
    </xf>
    <xf numFmtId="2" fontId="6" fillId="0" borderId="31" xfId="0" applyNumberFormat="1" applyFont="1" applyBorder="1" applyAlignment="1">
      <alignment horizontal="right"/>
    </xf>
    <xf numFmtId="0" fontId="7" fillId="0" borderId="26" xfId="0" applyNumberFormat="1" applyFont="1" applyBorder="1" applyAlignment="1">
      <alignment horizontal="left" vertical="center"/>
    </xf>
    <xf numFmtId="0" fontId="9" fillId="0" borderId="0" xfId="0" applyFont="1" applyAlignment="1">
      <alignment horizontal="left"/>
    </xf>
    <xf numFmtId="2" fontId="9" fillId="0" borderId="0" xfId="0" applyNumberFormat="1" applyFont="1" applyAlignment="1">
      <alignment horizontal="right"/>
    </xf>
    <xf numFmtId="0" fontId="8" fillId="0" borderId="15" xfId="0" applyFont="1" applyBorder="1" applyAlignment="1">
      <alignment horizontal="left"/>
    </xf>
    <xf numFmtId="0" fontId="8" fillId="0" borderId="24" xfId="0" applyFont="1" applyBorder="1" applyAlignment="1">
      <alignment horizontal="left"/>
    </xf>
    <xf numFmtId="2" fontId="6" fillId="0" borderId="34" xfId="0" applyNumberFormat="1" applyFont="1" applyBorder="1" applyAlignment="1">
      <alignment horizontal="right"/>
    </xf>
    <xf numFmtId="2" fontId="6" fillId="0" borderId="8" xfId="0" applyNumberFormat="1" applyFont="1" applyBorder="1" applyAlignment="1">
      <alignment horizontal="right"/>
    </xf>
    <xf numFmtId="2" fontId="6" fillId="0" borderId="3" xfId="0" applyNumberFormat="1" applyFont="1" applyBorder="1" applyAlignment="1">
      <alignment horizontal="right"/>
    </xf>
    <xf numFmtId="2" fontId="8" fillId="0" borderId="37" xfId="0" applyNumberFormat="1" applyFont="1" applyBorder="1" applyAlignment="1">
      <alignment horizontal="right"/>
    </xf>
    <xf numFmtId="0" fontId="8" fillId="0" borderId="35" xfId="0" applyFont="1" applyBorder="1" applyAlignment="1">
      <alignment horizontal="center"/>
    </xf>
    <xf numFmtId="0" fontId="9" fillId="0" borderId="35" xfId="0" applyFont="1" applyBorder="1" applyAlignment="1">
      <alignment horizontal="center" vertical="center" wrapText="1"/>
    </xf>
    <xf numFmtId="0" fontId="9" fillId="0" borderId="39" xfId="0" applyFont="1" applyBorder="1" applyAlignment="1">
      <alignment horizontal="center" vertical="center" wrapText="1"/>
    </xf>
    <xf numFmtId="0" fontId="9" fillId="0" borderId="38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2" fontId="8" fillId="0" borderId="41" xfId="0" applyNumberFormat="1" applyFont="1" applyBorder="1" applyAlignment="1">
      <alignment horizontal="right"/>
    </xf>
    <xf numFmtId="2" fontId="8" fillId="0" borderId="43" xfId="0" applyNumberFormat="1" applyFont="1" applyBorder="1" applyAlignment="1">
      <alignment horizontal="right"/>
    </xf>
    <xf numFmtId="0" fontId="6" fillId="0" borderId="29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12" fillId="0" borderId="10" xfId="0" applyNumberFormat="1" applyFont="1" applyBorder="1" applyAlignment="1">
      <alignment horizontal="center" vertical="center"/>
    </xf>
    <xf numFmtId="0" fontId="12" fillId="0" borderId="36" xfId="0" applyNumberFormat="1" applyFont="1" applyBorder="1" applyAlignment="1">
      <alignment horizontal="center" vertical="center"/>
    </xf>
    <xf numFmtId="0" fontId="12" fillId="0" borderId="19" xfId="0" applyNumberFormat="1" applyFont="1" applyBorder="1" applyAlignment="1">
      <alignment horizontal="center" vertical="center"/>
    </xf>
    <xf numFmtId="0" fontId="12" fillId="0" borderId="18" xfId="0" applyNumberFormat="1" applyFont="1" applyBorder="1" applyAlignment="1">
      <alignment horizontal="center" vertical="center"/>
    </xf>
    <xf numFmtId="0" fontId="12" fillId="2" borderId="33" xfId="0" applyNumberFormat="1" applyFont="1" applyFill="1" applyBorder="1" applyAlignment="1">
      <alignment horizontal="center" vertical="center"/>
    </xf>
    <xf numFmtId="0" fontId="12" fillId="2" borderId="9" xfId="0" applyNumberFormat="1" applyFont="1" applyFill="1" applyBorder="1" applyAlignment="1">
      <alignment horizontal="center" vertical="center"/>
    </xf>
    <xf numFmtId="0" fontId="12" fillId="0" borderId="9" xfId="0" applyNumberFormat="1" applyFont="1" applyBorder="1" applyAlignment="1">
      <alignment horizontal="center" vertical="center"/>
    </xf>
    <xf numFmtId="0" fontId="1" fillId="0" borderId="9" xfId="0" applyNumberFormat="1" applyFont="1" applyBorder="1" applyAlignment="1">
      <alignment horizontal="center" vertical="center"/>
    </xf>
    <xf numFmtId="0" fontId="12" fillId="0" borderId="2" xfId="0" applyNumberFormat="1" applyFont="1" applyBorder="1" applyAlignment="1">
      <alignment horizontal="center" vertical="center"/>
    </xf>
    <xf numFmtId="0" fontId="12" fillId="0" borderId="10" xfId="0" applyNumberFormat="1" applyFont="1" applyFill="1" applyBorder="1" applyAlignment="1">
      <alignment horizontal="center" vertical="center"/>
    </xf>
    <xf numFmtId="2" fontId="12" fillId="0" borderId="23" xfId="0" applyNumberFormat="1" applyFont="1" applyBorder="1" applyAlignment="1">
      <alignment horizontal="right" vertical="center"/>
    </xf>
    <xf numFmtId="2" fontId="12" fillId="0" borderId="30" xfId="0" applyNumberFormat="1" applyFont="1" applyBorder="1" applyAlignment="1">
      <alignment horizontal="right" vertical="center"/>
    </xf>
    <xf numFmtId="2" fontId="12" fillId="0" borderId="31" xfId="0" applyNumberFormat="1" applyFont="1" applyBorder="1" applyAlignment="1">
      <alignment horizontal="right" vertical="center"/>
    </xf>
    <xf numFmtId="2" fontId="12" fillId="0" borderId="31" xfId="0" applyNumberFormat="1" applyFont="1" applyFill="1" applyBorder="1" applyAlignment="1">
      <alignment horizontal="right" vertical="center"/>
    </xf>
    <xf numFmtId="0" fontId="2" fillId="0" borderId="19" xfId="0" applyNumberFormat="1" applyFont="1" applyBorder="1" applyAlignment="1">
      <alignment horizontal="center" vertical="center"/>
    </xf>
    <xf numFmtId="0" fontId="1" fillId="0" borderId="7" xfId="0" applyNumberFormat="1" applyFont="1" applyBorder="1" applyAlignment="1">
      <alignment horizontal="center" vertical="center"/>
    </xf>
    <xf numFmtId="1" fontId="2" fillId="2" borderId="9" xfId="0" applyNumberFormat="1" applyFont="1" applyFill="1" applyBorder="1" applyAlignment="1">
      <alignment horizontal="center" vertical="center"/>
    </xf>
    <xf numFmtId="2" fontId="2" fillId="2" borderId="9" xfId="0" applyNumberFormat="1" applyFont="1" applyFill="1" applyBorder="1" applyAlignment="1">
      <alignment horizontal="right" vertical="center"/>
    </xf>
    <xf numFmtId="2" fontId="2" fillId="3" borderId="9" xfId="0" applyNumberFormat="1" applyFont="1" applyFill="1" applyBorder="1" applyAlignment="1">
      <alignment horizontal="right" vertical="center"/>
    </xf>
    <xf numFmtId="2" fontId="13" fillId="0" borderId="9" xfId="0" applyNumberFormat="1" applyFont="1" applyBorder="1" applyAlignment="1">
      <alignment horizontal="right" vertical="center"/>
    </xf>
    <xf numFmtId="14" fontId="2" fillId="0" borderId="9" xfId="0" applyNumberFormat="1" applyFont="1" applyBorder="1" applyAlignment="1">
      <alignment horizontal="center" vertical="center"/>
    </xf>
    <xf numFmtId="0" fontId="14" fillId="0" borderId="0" xfId="1" applyAlignment="1" applyProtection="1"/>
    <xf numFmtId="0" fontId="1" fillId="0" borderId="7" xfId="0" applyNumberFormat="1" applyFont="1" applyBorder="1" applyAlignment="1">
      <alignment horizontal="center" vertical="center"/>
    </xf>
    <xf numFmtId="0" fontId="1" fillId="0" borderId="6" xfId="0" applyNumberFormat="1" applyFont="1" applyBorder="1" applyAlignment="1">
      <alignment horizontal="center" vertical="center"/>
    </xf>
    <xf numFmtId="0" fontId="1" fillId="0" borderId="7" xfId="0" applyNumberFormat="1" applyFont="1" applyBorder="1" applyAlignment="1">
      <alignment horizontal="center" vertical="center"/>
    </xf>
    <xf numFmtId="0" fontId="1" fillId="0" borderId="16" xfId="0" applyNumberFormat="1" applyFont="1" applyFill="1" applyBorder="1" applyAlignment="1">
      <alignment horizontal="center" vertical="center" wrapText="1"/>
    </xf>
    <xf numFmtId="0" fontId="1" fillId="0" borderId="13" xfId="0" applyNumberFormat="1" applyFont="1" applyFill="1" applyBorder="1" applyAlignment="1">
      <alignment horizontal="center" vertical="center" wrapText="1"/>
    </xf>
    <xf numFmtId="0" fontId="1" fillId="0" borderId="4" xfId="0" applyNumberFormat="1" applyFont="1" applyFill="1" applyBorder="1" applyAlignment="1">
      <alignment horizontal="center" vertical="center" wrapText="1"/>
    </xf>
    <xf numFmtId="0" fontId="1" fillId="0" borderId="17" xfId="0" applyNumberFormat="1" applyFont="1" applyFill="1" applyBorder="1" applyAlignment="1">
      <alignment horizontal="center" vertical="center" wrapText="1"/>
    </xf>
    <xf numFmtId="0" fontId="3" fillId="0" borderId="5" xfId="0" applyNumberFormat="1" applyFont="1" applyBorder="1" applyAlignment="1">
      <alignment horizontal="center"/>
    </xf>
    <xf numFmtId="0" fontId="1" fillId="0" borderId="15" xfId="0" applyNumberFormat="1" applyFont="1" applyBorder="1" applyAlignment="1">
      <alignment horizontal="center" vertical="center" wrapText="1"/>
    </xf>
    <xf numFmtId="0" fontId="1" fillId="0" borderId="24" xfId="0" applyNumberFormat="1" applyFont="1" applyBorder="1" applyAlignment="1">
      <alignment horizontal="center" vertical="center" wrapText="1"/>
    </xf>
    <xf numFmtId="0" fontId="1" fillId="0" borderId="6" xfId="0" applyNumberFormat="1" applyFont="1" applyBorder="1" applyAlignment="1">
      <alignment horizontal="center" vertical="center" wrapText="1"/>
    </xf>
    <xf numFmtId="0" fontId="1" fillId="0" borderId="7" xfId="0" applyNumberFormat="1" applyFont="1" applyBorder="1" applyAlignment="1">
      <alignment horizontal="center" vertical="center" wrapText="1"/>
    </xf>
    <xf numFmtId="2" fontId="1" fillId="0" borderId="6" xfId="0" applyNumberFormat="1" applyFont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0" fontId="2" fillId="0" borderId="25" xfId="0" applyNumberFormat="1" applyFont="1" applyBorder="1" applyAlignment="1">
      <alignment horizontal="center" vertical="center"/>
    </xf>
    <xf numFmtId="0" fontId="2" fillId="0" borderId="26" xfId="0" applyNumberFormat="1" applyFont="1" applyBorder="1" applyAlignment="1">
      <alignment horizontal="center" vertical="center"/>
    </xf>
    <xf numFmtId="0" fontId="2" fillId="0" borderId="27" xfId="0" applyNumberFormat="1" applyFont="1" applyBorder="1" applyAlignment="1">
      <alignment horizontal="center" vertical="center"/>
    </xf>
    <xf numFmtId="0" fontId="2" fillId="0" borderId="18" xfId="0" applyNumberFormat="1" applyFont="1" applyBorder="1" applyAlignment="1">
      <alignment horizontal="center" vertical="center"/>
    </xf>
    <xf numFmtId="0" fontId="2" fillId="0" borderId="10" xfId="0" applyNumberFormat="1" applyFont="1" applyBorder="1" applyAlignment="1">
      <alignment horizontal="center" vertical="center"/>
    </xf>
    <xf numFmtId="0" fontId="2" fillId="0" borderId="19" xfId="0" applyNumberFormat="1" applyFont="1" applyBorder="1" applyAlignment="1">
      <alignment horizontal="center" vertical="center"/>
    </xf>
    <xf numFmtId="0" fontId="2" fillId="0" borderId="20" xfId="0" applyNumberFormat="1" applyFont="1" applyBorder="1" applyAlignment="1">
      <alignment horizontal="center" vertical="center"/>
    </xf>
    <xf numFmtId="0" fontId="2" fillId="0" borderId="21" xfId="0" applyNumberFormat="1" applyFont="1" applyBorder="1" applyAlignment="1">
      <alignment horizontal="center" vertical="center"/>
    </xf>
    <xf numFmtId="0" fontId="2" fillId="0" borderId="22" xfId="0" applyNumberFormat="1" applyFont="1" applyBorder="1" applyAlignment="1">
      <alignment horizontal="center" vertical="center"/>
    </xf>
    <xf numFmtId="0" fontId="2" fillId="0" borderId="18" xfId="0" quotePrefix="1" applyNumberFormat="1" applyFont="1" applyBorder="1" applyAlignment="1">
      <alignment horizontal="center" vertical="center"/>
    </xf>
    <xf numFmtId="0" fontId="2" fillId="0" borderId="10" xfId="0" quotePrefix="1" applyNumberFormat="1" applyFont="1" applyBorder="1" applyAlignment="1">
      <alignment horizontal="center" vertical="center"/>
    </xf>
    <xf numFmtId="0" fontId="2" fillId="0" borderId="19" xfId="0" quotePrefix="1" applyNumberFormat="1" applyFont="1" applyBorder="1" applyAlignment="1">
      <alignment horizontal="center" vertical="center"/>
    </xf>
    <xf numFmtId="1" fontId="2" fillId="0" borderId="18" xfId="0" applyNumberFormat="1" applyFont="1" applyBorder="1" applyAlignment="1">
      <alignment horizontal="center" vertical="center"/>
    </xf>
    <xf numFmtId="1" fontId="2" fillId="0" borderId="19" xfId="0" applyNumberFormat="1" applyFont="1" applyBorder="1" applyAlignment="1">
      <alignment horizontal="center" vertical="center"/>
    </xf>
    <xf numFmtId="0" fontId="2" fillId="0" borderId="6" xfId="0" applyNumberFormat="1" applyFont="1" applyBorder="1" applyAlignment="1">
      <alignment horizontal="center" vertical="center"/>
    </xf>
    <xf numFmtId="1" fontId="2" fillId="0" borderId="10" xfId="0" applyNumberFormat="1" applyFont="1" applyBorder="1" applyAlignment="1">
      <alignment horizontal="center" vertical="center"/>
    </xf>
    <xf numFmtId="0" fontId="7" fillId="0" borderId="14" xfId="0" applyNumberFormat="1" applyFont="1" applyBorder="1" applyAlignment="1">
      <alignment horizontal="left" vertical="center"/>
    </xf>
    <xf numFmtId="0" fontId="7" fillId="0" borderId="1" xfId="0" applyNumberFormat="1" applyFont="1" applyBorder="1" applyAlignment="1">
      <alignment horizontal="left" vertical="center"/>
    </xf>
    <xf numFmtId="0" fontId="12" fillId="0" borderId="33" xfId="0" applyNumberFormat="1" applyFont="1" applyBorder="1" applyAlignment="1">
      <alignment horizontal="center" vertical="center"/>
    </xf>
    <xf numFmtId="0" fontId="12" fillId="0" borderId="9" xfId="0" applyNumberFormat="1" applyFont="1" applyBorder="1" applyAlignment="1">
      <alignment horizontal="center" vertical="center"/>
    </xf>
    <xf numFmtId="0" fontId="12" fillId="0" borderId="2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horizontal="center"/>
    </xf>
    <xf numFmtId="0" fontId="12" fillId="0" borderId="10" xfId="0" applyNumberFormat="1" applyFont="1" applyBorder="1" applyAlignment="1">
      <alignment horizontal="center" vertical="center"/>
    </xf>
    <xf numFmtId="0" fontId="7" fillId="0" borderId="32" xfId="0" applyNumberFormat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8.bin"/><Relationship Id="rId3" Type="http://schemas.openxmlformats.org/officeDocument/2006/relationships/hyperlink" Target="PACKING%20MATEREILS%20STATEMENT-2021-22.xlsx" TargetMode="External"/><Relationship Id="rId7" Type="http://schemas.openxmlformats.org/officeDocument/2006/relationships/hyperlink" Target="SALE%20BILL%20REPORT%202021-22.xlsx" TargetMode="External"/><Relationship Id="rId2" Type="http://schemas.openxmlformats.org/officeDocument/2006/relationships/hyperlink" Target="ORIGENAL%20TEA%20INPUT%20&amp;%20BLEND%20OUTPUT%20SYESTEM-%202021-22.xlsx" TargetMode="External"/><Relationship Id="rId1" Type="http://schemas.openxmlformats.org/officeDocument/2006/relationships/hyperlink" Target="D.K%20STATEMENT%20-2021-22.xlsx" TargetMode="External"/><Relationship Id="rId6" Type="http://schemas.openxmlformats.org/officeDocument/2006/relationships/hyperlink" Target="BLENDED%20TEA%20STOCK%20REGISTER%202021-22.xlsx" TargetMode="External"/><Relationship Id="rId5" Type="http://schemas.openxmlformats.org/officeDocument/2006/relationships/hyperlink" Target="PMT%20RECEPIT-2021-22.xlsx" TargetMode="External"/><Relationship Id="rId4" Type="http://schemas.openxmlformats.org/officeDocument/2006/relationships/hyperlink" Target="ORIGENAL%20TEA%20RECEPIT-2021-22.xlsx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9.bin"/><Relationship Id="rId3" Type="http://schemas.openxmlformats.org/officeDocument/2006/relationships/hyperlink" Target="PACKING%20MATEREILS%20STATEMENT-2021-22.xlsx" TargetMode="External"/><Relationship Id="rId7" Type="http://schemas.openxmlformats.org/officeDocument/2006/relationships/hyperlink" Target="SALE%20BILL%20REPORT%202021-22.xlsx" TargetMode="External"/><Relationship Id="rId2" Type="http://schemas.openxmlformats.org/officeDocument/2006/relationships/hyperlink" Target="ORIGENAL%20TEA%20INPUT%20&amp;%20BLEND%20OUTPUT%20SYESTEM-%202021-22.xlsx" TargetMode="External"/><Relationship Id="rId1" Type="http://schemas.openxmlformats.org/officeDocument/2006/relationships/hyperlink" Target="D.K%20STATEMENT%20-2021-22.xlsx" TargetMode="External"/><Relationship Id="rId6" Type="http://schemas.openxmlformats.org/officeDocument/2006/relationships/hyperlink" Target="BLENDED%20TEA%20STOCK%20REGISTER%202021-22.xlsx" TargetMode="External"/><Relationship Id="rId5" Type="http://schemas.openxmlformats.org/officeDocument/2006/relationships/hyperlink" Target="PMT%20RECEPIT-2021-22.xlsx" TargetMode="External"/><Relationship Id="rId4" Type="http://schemas.openxmlformats.org/officeDocument/2006/relationships/hyperlink" Target="ORIGENAL%20TEA%20RECEPIT-2021-22.xlsx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00000"/>
  </sheetPr>
  <dimension ref="A1:M38"/>
  <sheetViews>
    <sheetView zoomScaleNormal="100" workbookViewId="0">
      <selection activeCell="D22" sqref="D22"/>
    </sheetView>
  </sheetViews>
  <sheetFormatPr defaultRowHeight="15"/>
  <cols>
    <col min="1" max="1" width="9.42578125" style="13" customWidth="1"/>
    <col min="2" max="2" width="9.7109375" style="13" customWidth="1"/>
    <col min="3" max="3" width="16.7109375" style="13" bestFit="1" customWidth="1"/>
    <col min="4" max="4" width="39.85546875" style="13" bestFit="1" customWidth="1"/>
    <col min="5" max="5" width="9.140625" style="13" customWidth="1"/>
    <col min="6" max="6" width="5.42578125" style="13" customWidth="1"/>
    <col min="7" max="7" width="5.140625" style="14" customWidth="1"/>
    <col min="8" max="8" width="10.140625" style="20" customWidth="1"/>
    <col min="9" max="9" width="11.5703125" style="20" bestFit="1" customWidth="1"/>
    <col min="10" max="11" width="13.140625" style="14" bestFit="1" customWidth="1"/>
    <col min="12" max="12" width="8.140625" style="13" customWidth="1"/>
    <col min="13" max="13" width="7.140625" style="13" customWidth="1"/>
    <col min="14" max="14" width="11" style="13" bestFit="1" customWidth="1"/>
    <col min="15" max="16384" width="9.140625" style="13"/>
  </cols>
  <sheetData>
    <row r="1" spans="1:13" ht="16.5" thickBot="1">
      <c r="A1" s="89" t="s">
        <v>27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</row>
    <row r="2" spans="1:13" ht="15" customHeight="1">
      <c r="A2" s="90" t="s">
        <v>6</v>
      </c>
      <c r="B2" s="92" t="s">
        <v>7</v>
      </c>
      <c r="C2" s="83" t="s">
        <v>8</v>
      </c>
      <c r="D2" s="83" t="s">
        <v>0</v>
      </c>
      <c r="E2" s="92" t="s">
        <v>9</v>
      </c>
      <c r="F2" s="92" t="s">
        <v>10</v>
      </c>
      <c r="G2" s="83" t="s">
        <v>1</v>
      </c>
      <c r="H2" s="94" t="s">
        <v>2</v>
      </c>
      <c r="I2" s="94" t="s">
        <v>3</v>
      </c>
      <c r="J2" s="83" t="s">
        <v>5</v>
      </c>
      <c r="K2" s="83" t="s">
        <v>4</v>
      </c>
      <c r="L2" s="85" t="s">
        <v>11</v>
      </c>
      <c r="M2" s="87" t="s">
        <v>12</v>
      </c>
    </row>
    <row r="3" spans="1:13" ht="15.75" thickBot="1">
      <c r="A3" s="91"/>
      <c r="B3" s="93"/>
      <c r="C3" s="84"/>
      <c r="D3" s="84"/>
      <c r="E3" s="93"/>
      <c r="F3" s="93"/>
      <c r="G3" s="84"/>
      <c r="H3" s="95"/>
      <c r="I3" s="95"/>
      <c r="J3" s="84"/>
      <c r="K3" s="84"/>
      <c r="L3" s="86"/>
      <c r="M3" s="88"/>
    </row>
    <row r="4" spans="1:13" s="14" customFormat="1" ht="13.5" customHeight="1">
      <c r="A4" s="2"/>
      <c r="B4" s="3"/>
      <c r="C4" s="3"/>
      <c r="D4" s="3"/>
      <c r="E4" s="3"/>
      <c r="F4" s="3"/>
      <c r="G4" s="3"/>
      <c r="H4" s="8"/>
      <c r="I4" s="8"/>
      <c r="J4" s="3"/>
      <c r="K4" s="1"/>
      <c r="L4" s="3"/>
      <c r="M4" s="4"/>
    </row>
    <row r="5" spans="1:13">
      <c r="A5" s="2"/>
      <c r="B5" s="3"/>
      <c r="C5" s="3"/>
      <c r="D5" s="3"/>
      <c r="E5" s="3"/>
      <c r="F5" s="3"/>
      <c r="G5" s="3"/>
      <c r="H5" s="8"/>
      <c r="I5" s="8"/>
      <c r="J5" s="3"/>
      <c r="K5" s="1"/>
      <c r="L5" s="3"/>
      <c r="M5" s="4"/>
    </row>
    <row r="6" spans="1:13">
      <c r="A6" s="2"/>
      <c r="B6" s="3"/>
      <c r="C6" s="3"/>
      <c r="D6" s="3"/>
      <c r="E6" s="3"/>
      <c r="F6" s="3"/>
      <c r="G6" s="3"/>
      <c r="H6" s="8"/>
      <c r="I6" s="8"/>
      <c r="J6" s="3"/>
      <c r="K6" s="1"/>
      <c r="L6" s="3"/>
      <c r="M6" s="4"/>
    </row>
    <row r="7" spans="1:13" s="14" customFormat="1">
      <c r="A7" s="2"/>
      <c r="B7" s="3"/>
      <c r="C7" s="3"/>
      <c r="D7" s="3"/>
      <c r="E7" s="3"/>
      <c r="F7" s="3"/>
      <c r="G7" s="3"/>
      <c r="H7" s="8"/>
      <c r="I7" s="8"/>
      <c r="J7" s="3"/>
      <c r="K7" s="1"/>
      <c r="L7" s="3"/>
      <c r="M7" s="4"/>
    </row>
    <row r="8" spans="1:13" s="14" customFormat="1">
      <c r="A8" s="2"/>
      <c r="B8" s="3"/>
      <c r="C8" s="3"/>
      <c r="D8" s="3"/>
      <c r="E8" s="3"/>
      <c r="F8" s="3"/>
      <c r="G8" s="3"/>
      <c r="H8" s="8"/>
      <c r="I8" s="8"/>
      <c r="J8" s="3"/>
      <c r="K8" s="1"/>
      <c r="L8" s="3"/>
      <c r="M8" s="4"/>
    </row>
    <row r="9" spans="1:13" s="14" customFormat="1">
      <c r="A9" s="2"/>
      <c r="B9" s="3"/>
      <c r="C9" s="3"/>
      <c r="D9" s="3"/>
      <c r="E9" s="3"/>
      <c r="F9" s="3"/>
      <c r="G9" s="3"/>
      <c r="H9" s="8"/>
      <c r="I9" s="8"/>
      <c r="J9" s="3"/>
      <c r="K9" s="1"/>
      <c r="L9" s="3"/>
      <c r="M9" s="4"/>
    </row>
    <row r="10" spans="1:13">
      <c r="A10" s="2"/>
      <c r="B10" s="3"/>
      <c r="C10" s="3"/>
      <c r="D10" s="3"/>
      <c r="E10" s="3"/>
      <c r="F10" s="3"/>
      <c r="G10" s="3"/>
      <c r="H10" s="8"/>
      <c r="I10" s="8"/>
      <c r="J10" s="3"/>
      <c r="K10" s="1"/>
      <c r="L10" s="3"/>
      <c r="M10" s="4"/>
    </row>
    <row r="11" spans="1:13">
      <c r="A11" s="2"/>
      <c r="B11" s="3"/>
      <c r="C11" s="3"/>
      <c r="D11" s="3"/>
      <c r="E11" s="3"/>
      <c r="F11" s="3"/>
      <c r="G11" s="3"/>
      <c r="H11" s="8"/>
      <c r="I11" s="8"/>
      <c r="J11" s="3"/>
      <c r="K11" s="1"/>
      <c r="L11" s="3"/>
      <c r="M11" s="4"/>
    </row>
    <row r="12" spans="1:13">
      <c r="A12" s="2"/>
      <c r="B12" s="3"/>
      <c r="C12" s="3"/>
      <c r="D12" s="3"/>
      <c r="E12" s="3"/>
      <c r="F12" s="3"/>
      <c r="G12" s="3"/>
      <c r="H12" s="8"/>
      <c r="I12" s="8"/>
      <c r="J12" s="3"/>
      <c r="K12" s="1"/>
      <c r="L12" s="3"/>
      <c r="M12" s="4"/>
    </row>
    <row r="13" spans="1:13">
      <c r="A13" s="2"/>
      <c r="B13" s="3"/>
      <c r="C13" s="3"/>
      <c r="D13" s="3"/>
      <c r="E13" s="3"/>
      <c r="F13" s="3"/>
      <c r="G13" s="3"/>
      <c r="H13" s="8"/>
      <c r="I13" s="8"/>
      <c r="J13" s="3"/>
      <c r="K13" s="1"/>
      <c r="L13" s="3"/>
      <c r="M13" s="4"/>
    </row>
    <row r="14" spans="1:13">
      <c r="A14" s="2"/>
      <c r="B14" s="3"/>
      <c r="C14" s="3"/>
      <c r="D14" s="3"/>
      <c r="E14" s="3"/>
      <c r="F14" s="3"/>
      <c r="G14" s="3"/>
      <c r="H14" s="8"/>
      <c r="I14" s="8"/>
      <c r="J14" s="3"/>
      <c r="K14" s="1"/>
      <c r="L14" s="3"/>
      <c r="M14" s="4"/>
    </row>
    <row r="15" spans="1:13">
      <c r="A15" s="2"/>
      <c r="B15" s="3"/>
      <c r="C15" s="3"/>
      <c r="D15" s="3"/>
      <c r="E15" s="3"/>
      <c r="F15" s="3"/>
      <c r="G15" s="3"/>
      <c r="H15" s="8"/>
      <c r="I15" s="8"/>
      <c r="J15" s="3"/>
      <c r="K15" s="1"/>
      <c r="L15" s="3"/>
      <c r="M15" s="4"/>
    </row>
    <row r="16" spans="1:13">
      <c r="A16" s="2"/>
      <c r="B16" s="3"/>
      <c r="C16" s="3"/>
      <c r="D16" s="3"/>
      <c r="E16" s="3"/>
      <c r="F16" s="3"/>
      <c r="G16" s="3"/>
      <c r="H16" s="8"/>
      <c r="I16" s="8"/>
      <c r="J16" s="3"/>
      <c r="K16" s="1"/>
      <c r="L16" s="3"/>
      <c r="M16" s="4"/>
    </row>
    <row r="17" spans="1:13">
      <c r="A17" s="2"/>
      <c r="B17" s="3"/>
      <c r="C17" s="3"/>
      <c r="D17" s="3"/>
      <c r="E17" s="3"/>
      <c r="F17" s="3"/>
      <c r="G17" s="3"/>
      <c r="H17" s="8"/>
      <c r="I17" s="8"/>
      <c r="J17" s="3"/>
      <c r="K17" s="1"/>
      <c r="L17" s="3"/>
      <c r="M17" s="4"/>
    </row>
    <row r="18" spans="1:13">
      <c r="A18" s="2"/>
      <c r="B18" s="3"/>
      <c r="C18" s="3"/>
      <c r="D18" s="3"/>
      <c r="E18" s="3"/>
      <c r="F18" s="3"/>
      <c r="G18" s="3"/>
      <c r="H18" s="8"/>
      <c r="I18" s="8"/>
      <c r="J18" s="3"/>
      <c r="K18" s="1"/>
      <c r="L18" s="3"/>
      <c r="M18" s="4"/>
    </row>
    <row r="19" spans="1:13">
      <c r="A19" s="2"/>
      <c r="B19" s="3"/>
      <c r="C19" s="3"/>
      <c r="D19" s="3"/>
      <c r="E19" s="3"/>
      <c r="F19" s="3"/>
      <c r="G19" s="3"/>
      <c r="H19" s="8"/>
      <c r="I19" s="8"/>
      <c r="J19" s="3"/>
      <c r="K19" s="1"/>
      <c r="L19" s="3"/>
      <c r="M19" s="4"/>
    </row>
    <row r="20" spans="1:13">
      <c r="A20" s="2"/>
      <c r="B20" s="3"/>
      <c r="C20" s="3"/>
      <c r="D20" s="3"/>
      <c r="E20" s="3"/>
      <c r="F20" s="3"/>
      <c r="G20" s="3"/>
      <c r="H20" s="8"/>
      <c r="I20" s="8"/>
      <c r="J20" s="3"/>
      <c r="K20" s="1"/>
      <c r="L20" s="3"/>
      <c r="M20" s="4"/>
    </row>
    <row r="21" spans="1:13">
      <c r="A21" s="2"/>
      <c r="B21" s="3"/>
      <c r="C21" s="3"/>
      <c r="D21" s="3"/>
      <c r="E21" s="3"/>
      <c r="F21" s="3"/>
      <c r="G21" s="3"/>
      <c r="H21" s="8"/>
      <c r="I21" s="8"/>
      <c r="J21" s="3"/>
      <c r="K21" s="1"/>
      <c r="L21" s="3"/>
      <c r="M21" s="4"/>
    </row>
    <row r="22" spans="1:13">
      <c r="A22" s="2"/>
      <c r="B22" s="3"/>
      <c r="C22" s="3"/>
      <c r="D22" s="3"/>
      <c r="E22" s="3"/>
      <c r="F22" s="3"/>
      <c r="G22" s="3"/>
      <c r="H22" s="8"/>
      <c r="I22" s="8"/>
      <c r="J22" s="3"/>
      <c r="K22" s="1"/>
      <c r="L22" s="3"/>
      <c r="M22" s="4"/>
    </row>
    <row r="23" spans="1:13">
      <c r="A23" s="2"/>
      <c r="B23" s="3"/>
      <c r="C23" s="3"/>
      <c r="D23" s="3"/>
      <c r="E23" s="3"/>
      <c r="F23" s="3"/>
      <c r="G23" s="3"/>
      <c r="H23" s="8"/>
      <c r="I23" s="8"/>
      <c r="J23" s="3"/>
      <c r="K23" s="1"/>
      <c r="L23" s="3"/>
      <c r="M23" s="4"/>
    </row>
    <row r="24" spans="1:13">
      <c r="A24" s="2"/>
      <c r="B24" s="3"/>
      <c r="C24" s="3"/>
      <c r="D24" s="3"/>
      <c r="E24" s="3"/>
      <c r="F24" s="3"/>
      <c r="G24" s="3"/>
      <c r="H24" s="8"/>
      <c r="I24" s="8"/>
      <c r="J24" s="3"/>
      <c r="K24" s="1"/>
      <c r="L24" s="3"/>
      <c r="M24" s="4"/>
    </row>
    <row r="25" spans="1:13">
      <c r="A25" s="2"/>
      <c r="B25" s="3"/>
      <c r="C25" s="3"/>
      <c r="D25" s="3"/>
      <c r="E25" s="3"/>
      <c r="F25" s="3"/>
      <c r="G25" s="3"/>
      <c r="H25" s="8"/>
      <c r="I25" s="8"/>
      <c r="J25" s="3"/>
      <c r="K25" s="1"/>
      <c r="L25" s="3"/>
      <c r="M25" s="4"/>
    </row>
    <row r="26" spans="1:13">
      <c r="A26" s="2"/>
      <c r="B26" s="3"/>
      <c r="C26" s="3"/>
      <c r="D26" s="3"/>
      <c r="E26" s="3"/>
      <c r="F26" s="3"/>
      <c r="G26" s="3"/>
      <c r="H26" s="8"/>
      <c r="I26" s="8"/>
      <c r="J26" s="3"/>
      <c r="K26" s="1"/>
      <c r="L26" s="3"/>
      <c r="M26" s="4"/>
    </row>
    <row r="27" spans="1:13">
      <c r="A27" s="2"/>
      <c r="B27" s="3"/>
      <c r="C27" s="3"/>
      <c r="D27" s="3"/>
      <c r="E27" s="3"/>
      <c r="F27" s="3"/>
      <c r="G27" s="3"/>
      <c r="H27" s="8"/>
      <c r="I27" s="8"/>
      <c r="J27" s="3"/>
      <c r="K27" s="1"/>
      <c r="L27" s="3"/>
      <c r="M27" s="4"/>
    </row>
    <row r="28" spans="1:13">
      <c r="A28" s="2"/>
      <c r="B28" s="3"/>
      <c r="C28" s="3"/>
      <c r="D28" s="3"/>
      <c r="E28" s="3"/>
      <c r="F28" s="3"/>
      <c r="G28" s="3"/>
      <c r="H28" s="8"/>
      <c r="I28" s="8"/>
      <c r="J28" s="3"/>
      <c r="K28" s="1"/>
      <c r="L28" s="3"/>
      <c r="M28" s="4"/>
    </row>
    <row r="29" spans="1:13">
      <c r="A29" s="2"/>
      <c r="B29" s="3"/>
      <c r="C29" s="3"/>
      <c r="D29" s="3"/>
      <c r="E29" s="3"/>
      <c r="F29" s="3"/>
      <c r="G29" s="3"/>
      <c r="H29" s="8"/>
      <c r="I29" s="8"/>
      <c r="J29" s="3"/>
      <c r="K29" s="1"/>
      <c r="L29" s="3"/>
      <c r="M29" s="4"/>
    </row>
    <row r="30" spans="1:13">
      <c r="A30" s="2"/>
      <c r="B30" s="3"/>
      <c r="C30" s="3"/>
      <c r="D30" s="3"/>
      <c r="E30" s="3"/>
      <c r="F30" s="3"/>
      <c r="G30" s="3"/>
      <c r="H30" s="8"/>
      <c r="I30" s="8"/>
      <c r="J30" s="3"/>
      <c r="K30" s="1"/>
      <c r="L30" s="3"/>
      <c r="M30" s="4"/>
    </row>
    <row r="31" spans="1:13">
      <c r="A31" s="2"/>
      <c r="B31" s="3"/>
      <c r="C31" s="3"/>
      <c r="D31" s="3"/>
      <c r="E31" s="3"/>
      <c r="F31" s="3"/>
      <c r="G31" s="3"/>
      <c r="H31" s="8"/>
      <c r="I31" s="8"/>
      <c r="J31" s="3"/>
      <c r="K31" s="1"/>
      <c r="L31" s="3"/>
      <c r="M31" s="4"/>
    </row>
    <row r="32" spans="1:13">
      <c r="A32" s="2"/>
      <c r="B32" s="3"/>
      <c r="C32" s="3"/>
      <c r="D32" s="3"/>
      <c r="E32" s="3"/>
      <c r="F32" s="3"/>
      <c r="G32" s="3"/>
      <c r="H32" s="8"/>
      <c r="I32" s="8"/>
      <c r="J32" s="3"/>
      <c r="K32" s="1"/>
      <c r="L32" s="3"/>
      <c r="M32" s="4"/>
    </row>
    <row r="33" spans="1:13" ht="15.75" thickBot="1">
      <c r="A33" s="5"/>
      <c r="B33" s="6"/>
      <c r="C33" s="6"/>
      <c r="D33" s="6"/>
      <c r="E33" s="6"/>
      <c r="F33" s="6"/>
      <c r="G33" s="6"/>
      <c r="H33" s="9"/>
      <c r="I33" s="9"/>
      <c r="J33" s="6"/>
      <c r="K33" s="11"/>
      <c r="L33" s="6"/>
      <c r="M33" s="7"/>
    </row>
    <row r="34" spans="1:13" ht="15.75" thickBot="1">
      <c r="A34" s="24" t="s">
        <v>13</v>
      </c>
      <c r="B34" s="15"/>
      <c r="C34" s="15"/>
      <c r="D34" s="16"/>
      <c r="E34" s="17"/>
      <c r="F34" s="17"/>
      <c r="G34" s="75">
        <f>SUM(G4:G33)</f>
        <v>0</v>
      </c>
      <c r="H34" s="22">
        <f>SUM(H4:H33)</f>
        <v>0</v>
      </c>
      <c r="I34" s="22">
        <f>SUM(I4:I33)</f>
        <v>0</v>
      </c>
      <c r="J34" s="18"/>
      <c r="K34" s="18"/>
      <c r="L34" s="17"/>
      <c r="M34" s="19"/>
    </row>
    <row r="37" spans="1:13" ht="15" customHeight="1">
      <c r="H37" s="23"/>
    </row>
    <row r="38" spans="1:13" ht="15" customHeight="1">
      <c r="H38" s="23"/>
    </row>
  </sheetData>
  <mergeCells count="14">
    <mergeCell ref="J2:J3"/>
    <mergeCell ref="K2:K3"/>
    <mergeCell ref="L2:L3"/>
    <mergeCell ref="M2:M3"/>
    <mergeCell ref="A1:M1"/>
    <mergeCell ref="A2:A3"/>
    <mergeCell ref="B2:B3"/>
    <mergeCell ref="C2:C3"/>
    <mergeCell ref="D2:D3"/>
    <mergeCell ref="E2:E3"/>
    <mergeCell ref="F2:F3"/>
    <mergeCell ref="G2:G3"/>
    <mergeCell ref="H2:H3"/>
    <mergeCell ref="I2:I3"/>
  </mergeCells>
  <pageMargins left="0.17" right="0.17" top="0.75" bottom="0.75" header="0.3" footer="0.3"/>
  <pageSetup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F0000"/>
  </sheetPr>
  <dimension ref="A1:M38"/>
  <sheetViews>
    <sheetView zoomScaleNormal="100" workbookViewId="0">
      <selection activeCell="C24" sqref="C24"/>
    </sheetView>
  </sheetViews>
  <sheetFormatPr defaultRowHeight="15"/>
  <cols>
    <col min="1" max="1" width="9.42578125" style="13" customWidth="1"/>
    <col min="2" max="2" width="9.7109375" style="13" customWidth="1"/>
    <col min="3" max="3" width="16.7109375" style="13" bestFit="1" customWidth="1"/>
    <col min="4" max="4" width="39.85546875" style="13" bestFit="1" customWidth="1"/>
    <col min="5" max="5" width="9.140625" style="13" customWidth="1"/>
    <col min="6" max="6" width="5.42578125" style="13" customWidth="1"/>
    <col min="7" max="7" width="5.140625" style="14" customWidth="1"/>
    <col min="8" max="8" width="10.140625" style="20" customWidth="1"/>
    <col min="9" max="9" width="11.5703125" style="20" bestFit="1" customWidth="1"/>
    <col min="10" max="11" width="13.140625" style="14" bestFit="1" customWidth="1"/>
    <col min="12" max="12" width="8.140625" style="13" customWidth="1"/>
    <col min="13" max="13" width="7.140625" style="13" customWidth="1"/>
    <col min="14" max="14" width="11" style="13" bestFit="1" customWidth="1"/>
    <col min="15" max="16384" width="9.140625" style="13"/>
  </cols>
  <sheetData>
    <row r="1" spans="1:13" ht="16.5" thickBot="1">
      <c r="A1" s="89" t="s">
        <v>27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</row>
    <row r="2" spans="1:13" ht="15" customHeight="1">
      <c r="A2" s="90" t="s">
        <v>6</v>
      </c>
      <c r="B2" s="92" t="s">
        <v>7</v>
      </c>
      <c r="C2" s="83" t="s">
        <v>8</v>
      </c>
      <c r="D2" s="83" t="s">
        <v>0</v>
      </c>
      <c r="E2" s="92" t="s">
        <v>9</v>
      </c>
      <c r="F2" s="92" t="s">
        <v>10</v>
      </c>
      <c r="G2" s="83" t="s">
        <v>1</v>
      </c>
      <c r="H2" s="94" t="s">
        <v>2</v>
      </c>
      <c r="I2" s="94" t="s">
        <v>3</v>
      </c>
      <c r="J2" s="83" t="s">
        <v>5</v>
      </c>
      <c r="K2" s="83" t="s">
        <v>4</v>
      </c>
      <c r="L2" s="85" t="s">
        <v>11</v>
      </c>
      <c r="M2" s="87" t="s">
        <v>12</v>
      </c>
    </row>
    <row r="3" spans="1:13" ht="15.75" thickBot="1">
      <c r="A3" s="91"/>
      <c r="B3" s="93"/>
      <c r="C3" s="84"/>
      <c r="D3" s="84"/>
      <c r="E3" s="93"/>
      <c r="F3" s="93"/>
      <c r="G3" s="84"/>
      <c r="H3" s="95"/>
      <c r="I3" s="95"/>
      <c r="J3" s="84"/>
      <c r="K3" s="84"/>
      <c r="L3" s="86"/>
      <c r="M3" s="88"/>
    </row>
    <row r="4" spans="1:13" s="14" customFormat="1" ht="13.5" customHeight="1">
      <c r="A4" s="2"/>
      <c r="B4" s="3"/>
      <c r="C4" s="3"/>
      <c r="D4" s="3"/>
      <c r="E4" s="3"/>
      <c r="F4" s="3"/>
      <c r="G4" s="3"/>
      <c r="H4" s="8"/>
      <c r="I4" s="8"/>
      <c r="J4" s="3"/>
      <c r="K4" s="1"/>
      <c r="L4" s="3"/>
      <c r="M4" s="4"/>
    </row>
    <row r="5" spans="1:13">
      <c r="A5" s="2"/>
      <c r="B5" s="3"/>
      <c r="C5" s="3"/>
      <c r="D5" s="3"/>
      <c r="E5" s="3"/>
      <c r="F5" s="3"/>
      <c r="G5" s="3"/>
      <c r="H5" s="8"/>
      <c r="I5" s="8"/>
      <c r="J5" s="3"/>
      <c r="K5" s="1"/>
      <c r="L5" s="3"/>
      <c r="M5" s="4"/>
    </row>
    <row r="6" spans="1:13">
      <c r="A6" s="2"/>
      <c r="B6" s="3"/>
      <c r="C6" s="3"/>
      <c r="D6" s="3"/>
      <c r="E6" s="3"/>
      <c r="F6" s="3"/>
      <c r="G6" s="3"/>
      <c r="H6" s="8"/>
      <c r="I6" s="8"/>
      <c r="J6" s="3"/>
      <c r="K6" s="1"/>
      <c r="L6" s="3"/>
      <c r="M6" s="4"/>
    </row>
    <row r="7" spans="1:13" s="14" customFormat="1">
      <c r="A7" s="2"/>
      <c r="B7" s="3"/>
      <c r="C7" s="3"/>
      <c r="D7" s="3"/>
      <c r="E7" s="3"/>
      <c r="F7" s="3"/>
      <c r="G7" s="3"/>
      <c r="H7" s="8"/>
      <c r="I7" s="8"/>
      <c r="J7" s="3"/>
      <c r="K7" s="1"/>
      <c r="L7" s="3"/>
      <c r="M7" s="4"/>
    </row>
    <row r="8" spans="1:13" s="14" customFormat="1">
      <c r="A8" s="2"/>
      <c r="B8" s="3"/>
      <c r="C8" s="3"/>
      <c r="D8" s="3"/>
      <c r="E8" s="3"/>
      <c r="F8" s="3"/>
      <c r="G8" s="3"/>
      <c r="H8" s="8"/>
      <c r="I8" s="8"/>
      <c r="J8" s="3"/>
      <c r="K8" s="1"/>
      <c r="L8" s="3"/>
      <c r="M8" s="4"/>
    </row>
    <row r="9" spans="1:13" s="14" customFormat="1">
      <c r="A9" s="2"/>
      <c r="B9" s="3"/>
      <c r="C9" s="3"/>
      <c r="D9" s="3"/>
      <c r="E9" s="3"/>
      <c r="F9" s="3"/>
      <c r="G9" s="3"/>
      <c r="H9" s="8"/>
      <c r="I9" s="8"/>
      <c r="J9" s="3"/>
      <c r="K9" s="1"/>
      <c r="L9" s="3"/>
      <c r="M9" s="4"/>
    </row>
    <row r="10" spans="1:13">
      <c r="A10" s="2"/>
      <c r="B10" s="3"/>
      <c r="C10" s="3"/>
      <c r="D10" s="3"/>
      <c r="E10" s="3"/>
      <c r="F10" s="3"/>
      <c r="G10" s="3"/>
      <c r="H10" s="8"/>
      <c r="I10" s="8"/>
      <c r="J10" s="3"/>
      <c r="K10" s="1"/>
      <c r="L10" s="3"/>
      <c r="M10" s="4"/>
    </row>
    <row r="11" spans="1:13">
      <c r="A11" s="2"/>
      <c r="B11" s="3"/>
      <c r="C11" s="3"/>
      <c r="D11" s="3"/>
      <c r="E11" s="3"/>
      <c r="F11" s="3"/>
      <c r="G11" s="3"/>
      <c r="H11" s="8"/>
      <c r="I11" s="8"/>
      <c r="J11" s="3"/>
      <c r="K11" s="1"/>
      <c r="L11" s="3"/>
      <c r="M11" s="4"/>
    </row>
    <row r="12" spans="1:13">
      <c r="A12" s="2"/>
      <c r="B12" s="3"/>
      <c r="C12" s="3"/>
      <c r="D12" s="3"/>
      <c r="E12" s="3"/>
      <c r="F12" s="3"/>
      <c r="G12" s="3"/>
      <c r="H12" s="8"/>
      <c r="I12" s="8"/>
      <c r="J12" s="3"/>
      <c r="K12" s="1"/>
      <c r="L12" s="3"/>
      <c r="M12" s="4"/>
    </row>
    <row r="13" spans="1:13">
      <c r="A13" s="2"/>
      <c r="B13" s="3"/>
      <c r="C13" s="3"/>
      <c r="D13" s="3"/>
      <c r="E13" s="3"/>
      <c r="F13" s="3"/>
      <c r="G13" s="3"/>
      <c r="H13" s="8"/>
      <c r="I13" s="8"/>
      <c r="J13" s="3"/>
      <c r="K13" s="1"/>
      <c r="L13" s="3"/>
      <c r="M13" s="4"/>
    </row>
    <row r="14" spans="1:13">
      <c r="A14" s="2"/>
      <c r="B14" s="3"/>
      <c r="C14" s="3"/>
      <c r="D14" s="3"/>
      <c r="E14" s="3"/>
      <c r="F14" s="3"/>
      <c r="G14" s="3"/>
      <c r="H14" s="8"/>
      <c r="I14" s="8"/>
      <c r="J14" s="3"/>
      <c r="K14" s="1"/>
      <c r="L14" s="3"/>
      <c r="M14" s="4"/>
    </row>
    <row r="15" spans="1:13">
      <c r="A15" s="2"/>
      <c r="B15" s="3"/>
      <c r="C15" s="3"/>
      <c r="D15" s="3"/>
      <c r="E15" s="3"/>
      <c r="F15" s="3"/>
      <c r="G15" s="3"/>
      <c r="H15" s="8"/>
      <c r="I15" s="8"/>
      <c r="J15" s="3"/>
      <c r="K15" s="1"/>
      <c r="L15" s="3"/>
      <c r="M15" s="4"/>
    </row>
    <row r="16" spans="1:13">
      <c r="A16" s="2"/>
      <c r="B16" s="3"/>
      <c r="C16" s="3"/>
      <c r="D16" s="3"/>
      <c r="E16" s="3"/>
      <c r="F16" s="3"/>
      <c r="G16" s="3"/>
      <c r="H16" s="8"/>
      <c r="I16" s="8"/>
      <c r="J16" s="3"/>
      <c r="K16" s="1"/>
      <c r="L16" s="3"/>
      <c r="M16" s="4"/>
    </row>
    <row r="17" spans="1:13">
      <c r="A17" s="2"/>
      <c r="B17" s="3"/>
      <c r="C17" s="3"/>
      <c r="D17" s="3"/>
      <c r="E17" s="3"/>
      <c r="F17" s="3"/>
      <c r="G17" s="3"/>
      <c r="H17" s="8"/>
      <c r="I17" s="8"/>
      <c r="J17" s="3"/>
      <c r="K17" s="1"/>
      <c r="L17" s="3"/>
      <c r="M17" s="4"/>
    </row>
    <row r="18" spans="1:13">
      <c r="A18" s="2"/>
      <c r="B18" s="3"/>
      <c r="C18" s="3"/>
      <c r="D18" s="3"/>
      <c r="E18" s="3"/>
      <c r="F18" s="3"/>
      <c r="G18" s="3"/>
      <c r="H18" s="8"/>
      <c r="I18" s="8"/>
      <c r="J18" s="3"/>
      <c r="K18" s="1"/>
      <c r="L18" s="3"/>
      <c r="M18" s="4"/>
    </row>
    <row r="19" spans="1:13">
      <c r="A19" s="2"/>
      <c r="B19" s="3"/>
      <c r="C19" s="3"/>
      <c r="D19" s="3"/>
      <c r="E19" s="3"/>
      <c r="F19" s="3"/>
      <c r="G19" s="3"/>
      <c r="H19" s="8"/>
      <c r="I19" s="8"/>
      <c r="J19" s="3"/>
      <c r="K19" s="1"/>
      <c r="L19" s="3"/>
      <c r="M19" s="4"/>
    </row>
    <row r="20" spans="1:13">
      <c r="A20" s="2"/>
      <c r="B20" s="3"/>
      <c r="C20" s="3"/>
      <c r="D20" s="3"/>
      <c r="E20" s="3"/>
      <c r="F20" s="3"/>
      <c r="G20" s="3"/>
      <c r="H20" s="8"/>
      <c r="I20" s="8"/>
      <c r="J20" s="3"/>
      <c r="K20" s="1"/>
      <c r="L20" s="3"/>
      <c r="M20" s="4"/>
    </row>
    <row r="21" spans="1:13">
      <c r="A21" s="2"/>
      <c r="B21" s="3"/>
      <c r="C21" s="3"/>
      <c r="D21" s="3"/>
      <c r="E21" s="3"/>
      <c r="F21" s="3"/>
      <c r="G21" s="3"/>
      <c r="H21" s="8"/>
      <c r="I21" s="8"/>
      <c r="J21" s="3"/>
      <c r="K21" s="1"/>
      <c r="L21" s="3"/>
      <c r="M21" s="4"/>
    </row>
    <row r="22" spans="1:13">
      <c r="A22" s="2"/>
      <c r="B22" s="3"/>
      <c r="C22" s="3"/>
      <c r="D22" s="3"/>
      <c r="E22" s="3"/>
      <c r="F22" s="3"/>
      <c r="G22" s="3"/>
      <c r="H22" s="8"/>
      <c r="I22" s="8"/>
      <c r="J22" s="3"/>
      <c r="K22" s="1"/>
      <c r="L22" s="3"/>
      <c r="M22" s="4"/>
    </row>
    <row r="23" spans="1:13">
      <c r="A23" s="2"/>
      <c r="B23" s="3"/>
      <c r="C23" s="3"/>
      <c r="D23" s="3"/>
      <c r="E23" s="3"/>
      <c r="F23" s="3"/>
      <c r="G23" s="3"/>
      <c r="H23" s="8"/>
      <c r="I23" s="8"/>
      <c r="J23" s="3"/>
      <c r="K23" s="1"/>
      <c r="L23" s="3"/>
      <c r="M23" s="4"/>
    </row>
    <row r="24" spans="1:13">
      <c r="A24" s="2"/>
      <c r="B24" s="3"/>
      <c r="C24" s="3"/>
      <c r="D24" s="3"/>
      <c r="E24" s="3"/>
      <c r="F24" s="3"/>
      <c r="G24" s="3"/>
      <c r="H24" s="8"/>
      <c r="I24" s="8"/>
      <c r="J24" s="3"/>
      <c r="K24" s="1"/>
      <c r="L24" s="3"/>
      <c r="M24" s="4"/>
    </row>
    <row r="25" spans="1:13">
      <c r="A25" s="2"/>
      <c r="B25" s="3"/>
      <c r="C25" s="3"/>
      <c r="D25" s="3"/>
      <c r="E25" s="3"/>
      <c r="F25" s="3"/>
      <c r="G25" s="3"/>
      <c r="H25" s="8"/>
      <c r="I25" s="8"/>
      <c r="J25" s="3"/>
      <c r="K25" s="1"/>
      <c r="L25" s="3"/>
      <c r="M25" s="4"/>
    </row>
    <row r="26" spans="1:13">
      <c r="A26" s="2"/>
      <c r="B26" s="3"/>
      <c r="C26" s="3"/>
      <c r="D26" s="3"/>
      <c r="E26" s="3"/>
      <c r="F26" s="3"/>
      <c r="G26" s="3"/>
      <c r="H26" s="8"/>
      <c r="I26" s="8"/>
      <c r="J26" s="3"/>
      <c r="K26" s="1"/>
      <c r="L26" s="3"/>
      <c r="M26" s="4"/>
    </row>
    <row r="27" spans="1:13">
      <c r="A27" s="2"/>
      <c r="B27" s="3"/>
      <c r="C27" s="3"/>
      <c r="D27" s="3"/>
      <c r="E27" s="3"/>
      <c r="F27" s="3"/>
      <c r="G27" s="3"/>
      <c r="H27" s="8"/>
      <c r="I27" s="8"/>
      <c r="J27" s="3"/>
      <c r="K27" s="1"/>
      <c r="L27" s="3"/>
      <c r="M27" s="4"/>
    </row>
    <row r="28" spans="1:13">
      <c r="A28" s="2"/>
      <c r="B28" s="3"/>
      <c r="C28" s="3"/>
      <c r="D28" s="3"/>
      <c r="E28" s="3"/>
      <c r="F28" s="3"/>
      <c r="G28" s="3"/>
      <c r="H28" s="8"/>
      <c r="I28" s="8"/>
      <c r="J28" s="3"/>
      <c r="K28" s="1"/>
      <c r="L28" s="3"/>
      <c r="M28" s="4"/>
    </row>
    <row r="29" spans="1:13">
      <c r="A29" s="2"/>
      <c r="B29" s="3"/>
      <c r="C29" s="3"/>
      <c r="D29" s="3"/>
      <c r="E29" s="3"/>
      <c r="F29" s="3"/>
      <c r="G29" s="3"/>
      <c r="H29" s="8"/>
      <c r="I29" s="8"/>
      <c r="J29" s="3"/>
      <c r="K29" s="1"/>
      <c r="L29" s="3"/>
      <c r="M29" s="4"/>
    </row>
    <row r="30" spans="1:13">
      <c r="A30" s="2"/>
      <c r="B30" s="3"/>
      <c r="C30" s="3"/>
      <c r="D30" s="3"/>
      <c r="E30" s="3"/>
      <c r="F30" s="3"/>
      <c r="G30" s="3"/>
      <c r="H30" s="8"/>
      <c r="I30" s="8"/>
      <c r="J30" s="3"/>
      <c r="K30" s="1"/>
      <c r="L30" s="3"/>
      <c r="M30" s="4"/>
    </row>
    <row r="31" spans="1:13">
      <c r="A31" s="2"/>
      <c r="B31" s="3"/>
      <c r="C31" s="3"/>
      <c r="D31" s="3"/>
      <c r="E31" s="3"/>
      <c r="F31" s="3"/>
      <c r="G31" s="3"/>
      <c r="H31" s="8"/>
      <c r="I31" s="8"/>
      <c r="J31" s="3"/>
      <c r="K31" s="1"/>
      <c r="L31" s="3"/>
      <c r="M31" s="4"/>
    </row>
    <row r="32" spans="1:13">
      <c r="A32" s="2"/>
      <c r="B32" s="3"/>
      <c r="C32" s="3"/>
      <c r="D32" s="3"/>
      <c r="E32" s="3"/>
      <c r="F32" s="3"/>
      <c r="G32" s="3"/>
      <c r="H32" s="8"/>
      <c r="I32" s="8"/>
      <c r="J32" s="3"/>
      <c r="K32" s="1"/>
      <c r="L32" s="3"/>
      <c r="M32" s="4"/>
    </row>
    <row r="33" spans="1:13" ht="15.75" thickBot="1">
      <c r="A33" s="5"/>
      <c r="B33" s="6"/>
      <c r="C33" s="6"/>
      <c r="D33" s="6"/>
      <c r="E33" s="6"/>
      <c r="F33" s="6"/>
      <c r="G33" s="6"/>
      <c r="H33" s="9"/>
      <c r="I33" s="9"/>
      <c r="J33" s="6"/>
      <c r="K33" s="11"/>
      <c r="L33" s="6"/>
      <c r="M33" s="7"/>
    </row>
    <row r="34" spans="1:13" ht="15.75" thickBot="1">
      <c r="A34" s="24" t="s">
        <v>13</v>
      </c>
      <c r="B34" s="15"/>
      <c r="C34" s="15"/>
      <c r="D34" s="16"/>
      <c r="E34" s="17"/>
      <c r="F34" s="17"/>
      <c r="G34" s="75">
        <f>SUM(G4:G33)</f>
        <v>0</v>
      </c>
      <c r="H34" s="22">
        <f>SUM(H4:H33)</f>
        <v>0</v>
      </c>
      <c r="I34" s="22">
        <f>SUM(I4:I33)</f>
        <v>0</v>
      </c>
      <c r="J34" s="18"/>
      <c r="K34" s="18"/>
      <c r="L34" s="17"/>
      <c r="M34" s="19"/>
    </row>
    <row r="37" spans="1:13" ht="15" customHeight="1">
      <c r="H37" s="23"/>
    </row>
    <row r="38" spans="1:13" ht="15" customHeight="1">
      <c r="H38" s="23"/>
    </row>
  </sheetData>
  <mergeCells count="14">
    <mergeCell ref="J2:J3"/>
    <mergeCell ref="K2:K3"/>
    <mergeCell ref="L2:L3"/>
    <mergeCell ref="M2:M3"/>
    <mergeCell ref="A1:M1"/>
    <mergeCell ref="A2:A3"/>
    <mergeCell ref="B2:B3"/>
    <mergeCell ref="C2:C3"/>
    <mergeCell ref="D2:D3"/>
    <mergeCell ref="E2:E3"/>
    <mergeCell ref="F2:F3"/>
    <mergeCell ref="G2:G3"/>
    <mergeCell ref="H2:H3"/>
    <mergeCell ref="I2:I3"/>
  </mergeCells>
  <pageMargins left="0.17" right="0.17" top="0.75" bottom="0.75" header="0.3" footer="0.3"/>
  <pageSetup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M38"/>
  <sheetViews>
    <sheetView zoomScaleNormal="100" workbookViewId="0">
      <selection activeCell="D23" sqref="D23"/>
    </sheetView>
  </sheetViews>
  <sheetFormatPr defaultRowHeight="15"/>
  <cols>
    <col min="1" max="1" width="9.42578125" style="13" customWidth="1"/>
    <col min="2" max="2" width="9.7109375" style="13" customWidth="1"/>
    <col min="3" max="3" width="16.7109375" style="13" bestFit="1" customWidth="1"/>
    <col min="4" max="4" width="39.85546875" style="13" bestFit="1" customWidth="1"/>
    <col min="5" max="5" width="9.140625" style="13" customWidth="1"/>
    <col min="6" max="6" width="5.42578125" style="13" customWidth="1"/>
    <col min="7" max="7" width="5.140625" style="14" customWidth="1"/>
    <col min="8" max="8" width="10.140625" style="20" customWidth="1"/>
    <col min="9" max="9" width="11.5703125" style="20" bestFit="1" customWidth="1"/>
    <col min="10" max="11" width="13.140625" style="14" bestFit="1" customWidth="1"/>
    <col min="12" max="12" width="8.140625" style="13" customWidth="1"/>
    <col min="13" max="13" width="7.140625" style="13" customWidth="1"/>
    <col min="14" max="14" width="11" style="13" bestFit="1" customWidth="1"/>
    <col min="15" max="16384" width="9.140625" style="13"/>
  </cols>
  <sheetData>
    <row r="1" spans="1:13" ht="16.5" thickBot="1">
      <c r="A1" s="89" t="s">
        <v>27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</row>
    <row r="2" spans="1:13" ht="15" customHeight="1">
      <c r="A2" s="90" t="s">
        <v>6</v>
      </c>
      <c r="B2" s="92" t="s">
        <v>7</v>
      </c>
      <c r="C2" s="83" t="s">
        <v>8</v>
      </c>
      <c r="D2" s="83" t="s">
        <v>0</v>
      </c>
      <c r="E2" s="92" t="s">
        <v>9</v>
      </c>
      <c r="F2" s="92" t="s">
        <v>10</v>
      </c>
      <c r="G2" s="83" t="s">
        <v>1</v>
      </c>
      <c r="H2" s="94" t="s">
        <v>2</v>
      </c>
      <c r="I2" s="94" t="s">
        <v>3</v>
      </c>
      <c r="J2" s="83" t="s">
        <v>5</v>
      </c>
      <c r="K2" s="83" t="s">
        <v>4</v>
      </c>
      <c r="L2" s="85" t="s">
        <v>11</v>
      </c>
      <c r="M2" s="87" t="s">
        <v>12</v>
      </c>
    </row>
    <row r="3" spans="1:13" ht="15.75" thickBot="1">
      <c r="A3" s="91"/>
      <c r="B3" s="93"/>
      <c r="C3" s="84"/>
      <c r="D3" s="84"/>
      <c r="E3" s="93"/>
      <c r="F3" s="93"/>
      <c r="G3" s="84"/>
      <c r="H3" s="95"/>
      <c r="I3" s="95"/>
      <c r="J3" s="84"/>
      <c r="K3" s="84"/>
      <c r="L3" s="86"/>
      <c r="M3" s="88"/>
    </row>
    <row r="4" spans="1:13" s="14" customFormat="1" ht="13.5" customHeight="1">
      <c r="A4" s="2"/>
      <c r="B4" s="3"/>
      <c r="C4" s="3"/>
      <c r="D4" s="3"/>
      <c r="E4" s="3"/>
      <c r="F4" s="3"/>
      <c r="G4" s="3"/>
      <c r="H4" s="8"/>
      <c r="I4" s="8"/>
      <c r="J4" s="3"/>
      <c r="K4" s="1"/>
      <c r="L4" s="3"/>
      <c r="M4" s="4"/>
    </row>
    <row r="5" spans="1:13">
      <c r="A5" s="2"/>
      <c r="B5" s="3"/>
      <c r="C5" s="3"/>
      <c r="D5" s="3"/>
      <c r="E5" s="3"/>
      <c r="F5" s="3"/>
      <c r="G5" s="3"/>
      <c r="H5" s="8"/>
      <c r="I5" s="8"/>
      <c r="J5" s="3"/>
      <c r="K5" s="1"/>
      <c r="L5" s="3"/>
      <c r="M5" s="4"/>
    </row>
    <row r="6" spans="1:13">
      <c r="A6" s="2"/>
      <c r="B6" s="3"/>
      <c r="C6" s="3"/>
      <c r="D6" s="3"/>
      <c r="E6" s="3"/>
      <c r="F6" s="3"/>
      <c r="G6" s="3"/>
      <c r="H6" s="8"/>
      <c r="I6" s="8"/>
      <c r="J6" s="3"/>
      <c r="K6" s="1"/>
      <c r="L6" s="3"/>
      <c r="M6" s="4"/>
    </row>
    <row r="7" spans="1:13" s="14" customFormat="1">
      <c r="A7" s="2"/>
      <c r="B7" s="3"/>
      <c r="C7" s="3"/>
      <c r="D7" s="3"/>
      <c r="E7" s="3"/>
      <c r="F7" s="3"/>
      <c r="G7" s="3"/>
      <c r="H7" s="8"/>
      <c r="I7" s="8"/>
      <c r="J7" s="3"/>
      <c r="K7" s="1"/>
      <c r="L7" s="3"/>
      <c r="M7" s="4"/>
    </row>
    <row r="8" spans="1:13" s="14" customFormat="1">
      <c r="A8" s="2"/>
      <c r="B8" s="3"/>
      <c r="C8" s="3"/>
      <c r="D8" s="3"/>
      <c r="E8" s="3"/>
      <c r="F8" s="3"/>
      <c r="G8" s="3"/>
      <c r="H8" s="8"/>
      <c r="I8" s="8"/>
      <c r="J8" s="3"/>
      <c r="K8" s="1"/>
      <c r="L8" s="3"/>
      <c r="M8" s="4"/>
    </row>
    <row r="9" spans="1:13" s="14" customFormat="1">
      <c r="A9" s="2"/>
      <c r="B9" s="3"/>
      <c r="C9" s="3"/>
      <c r="D9" s="3"/>
      <c r="E9" s="3"/>
      <c r="F9" s="3"/>
      <c r="G9" s="3"/>
      <c r="H9" s="8"/>
      <c r="I9" s="8"/>
      <c r="J9" s="3"/>
      <c r="K9" s="1"/>
      <c r="L9" s="3"/>
      <c r="M9" s="4"/>
    </row>
    <row r="10" spans="1:13">
      <c r="A10" s="2"/>
      <c r="B10" s="3"/>
      <c r="C10" s="3"/>
      <c r="D10" s="3"/>
      <c r="E10" s="3"/>
      <c r="F10" s="3"/>
      <c r="G10" s="3"/>
      <c r="H10" s="8"/>
      <c r="I10" s="8"/>
      <c r="J10" s="3"/>
      <c r="K10" s="1"/>
      <c r="L10" s="3"/>
      <c r="M10" s="4"/>
    </row>
    <row r="11" spans="1:13">
      <c r="A11" s="2"/>
      <c r="B11" s="3"/>
      <c r="C11" s="3"/>
      <c r="D11" s="3"/>
      <c r="E11" s="3"/>
      <c r="F11" s="3"/>
      <c r="G11" s="3"/>
      <c r="H11" s="8"/>
      <c r="I11" s="8"/>
      <c r="J11" s="3"/>
      <c r="K11" s="1"/>
      <c r="L11" s="3"/>
      <c r="M11" s="4"/>
    </row>
    <row r="12" spans="1:13">
      <c r="A12" s="2"/>
      <c r="B12" s="3"/>
      <c r="C12" s="3"/>
      <c r="D12" s="3"/>
      <c r="E12" s="3"/>
      <c r="F12" s="3"/>
      <c r="G12" s="3"/>
      <c r="H12" s="8"/>
      <c r="I12" s="8"/>
      <c r="J12" s="3"/>
      <c r="K12" s="1"/>
      <c r="L12" s="3"/>
      <c r="M12" s="4"/>
    </row>
    <row r="13" spans="1:13">
      <c r="A13" s="2"/>
      <c r="B13" s="3"/>
      <c r="C13" s="3"/>
      <c r="D13" s="3"/>
      <c r="E13" s="3"/>
      <c r="F13" s="3"/>
      <c r="G13" s="3"/>
      <c r="H13" s="8"/>
      <c r="I13" s="8"/>
      <c r="J13" s="3"/>
      <c r="K13" s="1"/>
      <c r="L13" s="3"/>
      <c r="M13" s="4"/>
    </row>
    <row r="14" spans="1:13">
      <c r="A14" s="2"/>
      <c r="B14" s="3"/>
      <c r="C14" s="3"/>
      <c r="D14" s="3"/>
      <c r="E14" s="3"/>
      <c r="F14" s="3"/>
      <c r="G14" s="3"/>
      <c r="H14" s="8"/>
      <c r="I14" s="8"/>
      <c r="J14" s="3"/>
      <c r="K14" s="1"/>
      <c r="L14" s="3"/>
      <c r="M14" s="4"/>
    </row>
    <row r="15" spans="1:13">
      <c r="A15" s="2"/>
      <c r="B15" s="3"/>
      <c r="C15" s="3"/>
      <c r="D15" s="3"/>
      <c r="E15" s="3"/>
      <c r="F15" s="3"/>
      <c r="G15" s="3"/>
      <c r="H15" s="8"/>
      <c r="I15" s="8"/>
      <c r="J15" s="3"/>
      <c r="K15" s="1"/>
      <c r="L15" s="3"/>
      <c r="M15" s="4"/>
    </row>
    <row r="16" spans="1:13">
      <c r="A16" s="2"/>
      <c r="B16" s="3"/>
      <c r="C16" s="3"/>
      <c r="D16" s="3"/>
      <c r="E16" s="3"/>
      <c r="F16" s="3"/>
      <c r="G16" s="3"/>
      <c r="H16" s="8"/>
      <c r="I16" s="8"/>
      <c r="J16" s="3"/>
      <c r="K16" s="1"/>
      <c r="L16" s="3"/>
      <c r="M16" s="4"/>
    </row>
    <row r="17" spans="1:13">
      <c r="A17" s="2"/>
      <c r="B17" s="3"/>
      <c r="C17" s="3"/>
      <c r="D17" s="3"/>
      <c r="E17" s="3"/>
      <c r="F17" s="3"/>
      <c r="G17" s="3"/>
      <c r="H17" s="8"/>
      <c r="I17" s="8"/>
      <c r="J17" s="3"/>
      <c r="K17" s="1"/>
      <c r="L17" s="3"/>
      <c r="M17" s="4"/>
    </row>
    <row r="18" spans="1:13">
      <c r="A18" s="2"/>
      <c r="B18" s="3"/>
      <c r="C18" s="3"/>
      <c r="D18" s="3"/>
      <c r="E18" s="3"/>
      <c r="F18" s="3"/>
      <c r="G18" s="3"/>
      <c r="H18" s="8"/>
      <c r="I18" s="8"/>
      <c r="J18" s="3"/>
      <c r="K18" s="1"/>
      <c r="L18" s="3"/>
      <c r="M18" s="4"/>
    </row>
    <row r="19" spans="1:13">
      <c r="A19" s="2"/>
      <c r="B19" s="3"/>
      <c r="C19" s="3"/>
      <c r="D19" s="3"/>
      <c r="E19" s="3"/>
      <c r="F19" s="3"/>
      <c r="G19" s="3"/>
      <c r="H19" s="8"/>
      <c r="I19" s="8"/>
      <c r="J19" s="3"/>
      <c r="K19" s="1"/>
      <c r="L19" s="3"/>
      <c r="M19" s="4"/>
    </row>
    <row r="20" spans="1:13">
      <c r="A20" s="2"/>
      <c r="B20" s="3"/>
      <c r="C20" s="3"/>
      <c r="D20" s="3"/>
      <c r="E20" s="3"/>
      <c r="F20" s="3"/>
      <c r="G20" s="3"/>
      <c r="H20" s="8"/>
      <c r="I20" s="8"/>
      <c r="J20" s="3"/>
      <c r="K20" s="1"/>
      <c r="L20" s="3"/>
      <c r="M20" s="4"/>
    </row>
    <row r="21" spans="1:13">
      <c r="A21" s="2"/>
      <c r="B21" s="3"/>
      <c r="C21" s="3"/>
      <c r="D21" s="3"/>
      <c r="E21" s="3"/>
      <c r="F21" s="3"/>
      <c r="G21" s="3"/>
      <c r="H21" s="8"/>
      <c r="I21" s="8"/>
      <c r="J21" s="3"/>
      <c r="K21" s="1"/>
      <c r="L21" s="3"/>
      <c r="M21" s="4"/>
    </row>
    <row r="22" spans="1:13">
      <c r="A22" s="2"/>
      <c r="B22" s="3"/>
      <c r="C22" s="3"/>
      <c r="D22" s="3"/>
      <c r="E22" s="3"/>
      <c r="F22" s="3"/>
      <c r="G22" s="3"/>
      <c r="H22" s="8"/>
      <c r="I22" s="8"/>
      <c r="J22" s="3"/>
      <c r="K22" s="1"/>
      <c r="L22" s="3"/>
      <c r="M22" s="4"/>
    </row>
    <row r="23" spans="1:13">
      <c r="A23" s="2"/>
      <c r="B23" s="3"/>
      <c r="C23" s="3"/>
      <c r="D23" s="3"/>
      <c r="E23" s="3"/>
      <c r="F23" s="3"/>
      <c r="G23" s="3"/>
      <c r="H23" s="8"/>
      <c r="I23" s="8"/>
      <c r="J23" s="3"/>
      <c r="K23" s="1"/>
      <c r="L23" s="3"/>
      <c r="M23" s="4"/>
    </row>
    <row r="24" spans="1:13">
      <c r="A24" s="2"/>
      <c r="B24" s="3"/>
      <c r="C24" s="3"/>
      <c r="D24" s="3"/>
      <c r="E24" s="3"/>
      <c r="F24" s="3"/>
      <c r="G24" s="3"/>
      <c r="H24" s="8"/>
      <c r="I24" s="8"/>
      <c r="J24" s="3"/>
      <c r="K24" s="1"/>
      <c r="L24" s="3"/>
      <c r="M24" s="4"/>
    </row>
    <row r="25" spans="1:13">
      <c r="A25" s="2"/>
      <c r="B25" s="3"/>
      <c r="C25" s="3"/>
      <c r="D25" s="3"/>
      <c r="E25" s="3"/>
      <c r="F25" s="3"/>
      <c r="G25" s="3"/>
      <c r="H25" s="8"/>
      <c r="I25" s="8"/>
      <c r="J25" s="3"/>
      <c r="K25" s="1"/>
      <c r="L25" s="3"/>
      <c r="M25" s="4"/>
    </row>
    <row r="26" spans="1:13">
      <c r="A26" s="2"/>
      <c r="B26" s="3"/>
      <c r="C26" s="3"/>
      <c r="D26" s="3"/>
      <c r="E26" s="3"/>
      <c r="F26" s="3"/>
      <c r="G26" s="3"/>
      <c r="H26" s="8"/>
      <c r="I26" s="8"/>
      <c r="J26" s="3"/>
      <c r="K26" s="1"/>
      <c r="L26" s="3"/>
      <c r="M26" s="4"/>
    </row>
    <row r="27" spans="1:13">
      <c r="A27" s="2"/>
      <c r="B27" s="3"/>
      <c r="C27" s="3"/>
      <c r="D27" s="3"/>
      <c r="E27" s="3"/>
      <c r="F27" s="3"/>
      <c r="G27" s="3"/>
      <c r="H27" s="8"/>
      <c r="I27" s="8"/>
      <c r="J27" s="3"/>
      <c r="K27" s="1"/>
      <c r="L27" s="3"/>
      <c r="M27" s="4"/>
    </row>
    <row r="28" spans="1:13">
      <c r="A28" s="2"/>
      <c r="B28" s="3"/>
      <c r="C28" s="3"/>
      <c r="D28" s="3"/>
      <c r="E28" s="3"/>
      <c r="F28" s="3"/>
      <c r="G28" s="3"/>
      <c r="H28" s="8"/>
      <c r="I28" s="8"/>
      <c r="J28" s="3"/>
      <c r="K28" s="1"/>
      <c r="L28" s="3"/>
      <c r="M28" s="4"/>
    </row>
    <row r="29" spans="1:13">
      <c r="A29" s="2"/>
      <c r="B29" s="3"/>
      <c r="C29" s="3"/>
      <c r="D29" s="3"/>
      <c r="E29" s="3"/>
      <c r="F29" s="3"/>
      <c r="G29" s="3"/>
      <c r="H29" s="8"/>
      <c r="I29" s="8"/>
      <c r="J29" s="3"/>
      <c r="K29" s="1"/>
      <c r="L29" s="3"/>
      <c r="M29" s="4"/>
    </row>
    <row r="30" spans="1:13">
      <c r="A30" s="2"/>
      <c r="B30" s="3"/>
      <c r="C30" s="3"/>
      <c r="D30" s="3"/>
      <c r="E30" s="3"/>
      <c r="F30" s="3"/>
      <c r="G30" s="3"/>
      <c r="H30" s="8"/>
      <c r="I30" s="8"/>
      <c r="J30" s="3"/>
      <c r="K30" s="1"/>
      <c r="L30" s="3"/>
      <c r="M30" s="4"/>
    </row>
    <row r="31" spans="1:13">
      <c r="A31" s="2"/>
      <c r="B31" s="3"/>
      <c r="C31" s="3"/>
      <c r="D31" s="3"/>
      <c r="E31" s="3"/>
      <c r="F31" s="3"/>
      <c r="G31" s="3"/>
      <c r="H31" s="8"/>
      <c r="I31" s="8"/>
      <c r="J31" s="3"/>
      <c r="K31" s="1"/>
      <c r="L31" s="3"/>
      <c r="M31" s="4"/>
    </row>
    <row r="32" spans="1:13">
      <c r="A32" s="2"/>
      <c r="B32" s="3"/>
      <c r="C32" s="3"/>
      <c r="D32" s="3"/>
      <c r="E32" s="3"/>
      <c r="F32" s="3"/>
      <c r="G32" s="3"/>
      <c r="H32" s="8"/>
      <c r="I32" s="8"/>
      <c r="J32" s="3"/>
      <c r="K32" s="1"/>
      <c r="L32" s="3"/>
      <c r="M32" s="4"/>
    </row>
    <row r="33" spans="1:13" ht="15.75" thickBot="1">
      <c r="A33" s="5"/>
      <c r="B33" s="6"/>
      <c r="C33" s="6"/>
      <c r="D33" s="6"/>
      <c r="E33" s="6"/>
      <c r="F33" s="6"/>
      <c r="G33" s="6"/>
      <c r="H33" s="9"/>
      <c r="I33" s="9"/>
      <c r="J33" s="6"/>
      <c r="K33" s="11"/>
      <c r="L33" s="6"/>
      <c r="M33" s="7"/>
    </row>
    <row r="34" spans="1:13" ht="15.75" thickBot="1">
      <c r="A34" s="24" t="s">
        <v>13</v>
      </c>
      <c r="B34" s="15"/>
      <c r="C34" s="15"/>
      <c r="D34" s="16"/>
      <c r="E34" s="17"/>
      <c r="F34" s="17"/>
      <c r="G34" s="75">
        <f>SUM(G4:G33)</f>
        <v>0</v>
      </c>
      <c r="H34" s="22">
        <f>SUM(H4:H33)</f>
        <v>0</v>
      </c>
      <c r="I34" s="22">
        <f>SUM(I4:I33)</f>
        <v>0</v>
      </c>
      <c r="J34" s="18"/>
      <c r="K34" s="18"/>
      <c r="L34" s="17"/>
      <c r="M34" s="19"/>
    </row>
    <row r="37" spans="1:13" ht="15" customHeight="1">
      <c r="H37" s="23"/>
    </row>
    <row r="38" spans="1:13" ht="15" customHeight="1">
      <c r="H38" s="23"/>
    </row>
  </sheetData>
  <mergeCells count="14">
    <mergeCell ref="J2:J3"/>
    <mergeCell ref="K2:K3"/>
    <mergeCell ref="L2:L3"/>
    <mergeCell ref="M2:M3"/>
    <mergeCell ref="A1:M1"/>
    <mergeCell ref="A2:A3"/>
    <mergeCell ref="B2:B3"/>
    <mergeCell ref="C2:C3"/>
    <mergeCell ref="D2:D3"/>
    <mergeCell ref="E2:E3"/>
    <mergeCell ref="F2:F3"/>
    <mergeCell ref="G2:G3"/>
    <mergeCell ref="H2:H3"/>
    <mergeCell ref="I2:I3"/>
  </mergeCells>
  <pageMargins left="0.17" right="0.17" top="0.75" bottom="0.75" header="0.3" footer="0.3"/>
  <pageSetup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FF00"/>
  </sheetPr>
  <dimension ref="A1:M38"/>
  <sheetViews>
    <sheetView zoomScaleNormal="100" workbookViewId="0">
      <selection activeCell="I14" sqref="I14"/>
    </sheetView>
  </sheetViews>
  <sheetFormatPr defaultRowHeight="15"/>
  <cols>
    <col min="1" max="1" width="9.42578125" style="13" customWidth="1"/>
    <col min="2" max="2" width="9.7109375" style="13" customWidth="1"/>
    <col min="3" max="3" width="16.7109375" style="13" bestFit="1" customWidth="1"/>
    <col min="4" max="4" width="39.85546875" style="13" bestFit="1" customWidth="1"/>
    <col min="5" max="5" width="9.140625" style="13" customWidth="1"/>
    <col min="6" max="6" width="5.42578125" style="13" customWidth="1"/>
    <col min="7" max="7" width="5.140625" style="14" customWidth="1"/>
    <col min="8" max="8" width="10.140625" style="20" customWidth="1"/>
    <col min="9" max="9" width="11.5703125" style="20" bestFit="1" customWidth="1"/>
    <col min="10" max="11" width="13.140625" style="14" bestFit="1" customWidth="1"/>
    <col min="12" max="12" width="8.140625" style="13" customWidth="1"/>
    <col min="13" max="13" width="7.140625" style="13" customWidth="1"/>
    <col min="14" max="14" width="11" style="13" bestFit="1" customWidth="1"/>
    <col min="15" max="16384" width="9.140625" style="13"/>
  </cols>
  <sheetData>
    <row r="1" spans="1:13" ht="16.5" thickBot="1">
      <c r="A1" s="89" t="s">
        <v>27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</row>
    <row r="2" spans="1:13" ht="15" customHeight="1">
      <c r="A2" s="90" t="s">
        <v>6</v>
      </c>
      <c r="B2" s="92" t="s">
        <v>7</v>
      </c>
      <c r="C2" s="83" t="s">
        <v>8</v>
      </c>
      <c r="D2" s="83" t="s">
        <v>0</v>
      </c>
      <c r="E2" s="92" t="s">
        <v>9</v>
      </c>
      <c r="F2" s="92" t="s">
        <v>10</v>
      </c>
      <c r="G2" s="83" t="s">
        <v>1</v>
      </c>
      <c r="H2" s="94" t="s">
        <v>2</v>
      </c>
      <c r="I2" s="94" t="s">
        <v>3</v>
      </c>
      <c r="J2" s="83" t="s">
        <v>5</v>
      </c>
      <c r="K2" s="83" t="s">
        <v>4</v>
      </c>
      <c r="L2" s="85" t="s">
        <v>11</v>
      </c>
      <c r="M2" s="87" t="s">
        <v>12</v>
      </c>
    </row>
    <row r="3" spans="1:13" ht="15.75" thickBot="1">
      <c r="A3" s="91"/>
      <c r="B3" s="93"/>
      <c r="C3" s="84"/>
      <c r="D3" s="84"/>
      <c r="E3" s="93"/>
      <c r="F3" s="93"/>
      <c r="G3" s="84"/>
      <c r="H3" s="95"/>
      <c r="I3" s="95"/>
      <c r="J3" s="84"/>
      <c r="K3" s="84"/>
      <c r="L3" s="86"/>
      <c r="M3" s="88"/>
    </row>
    <row r="4" spans="1:13" s="14" customFormat="1" ht="13.5" customHeight="1">
      <c r="A4" s="2"/>
      <c r="B4" s="3"/>
      <c r="C4" s="3"/>
      <c r="D4" s="3"/>
      <c r="E4" s="3"/>
      <c r="F4" s="3"/>
      <c r="G4" s="3"/>
      <c r="H4" s="8"/>
      <c r="I4" s="8"/>
      <c r="J4" s="3"/>
      <c r="K4" s="1"/>
      <c r="L4" s="3"/>
      <c r="M4" s="4"/>
    </row>
    <row r="5" spans="1:13">
      <c r="A5" s="2"/>
      <c r="B5" s="3"/>
      <c r="C5" s="3"/>
      <c r="D5" s="3"/>
      <c r="E5" s="3"/>
      <c r="F5" s="3"/>
      <c r="G5" s="3"/>
      <c r="H5" s="8"/>
      <c r="I5" s="8"/>
      <c r="J5" s="3"/>
      <c r="K5" s="1"/>
      <c r="L5" s="3"/>
      <c r="M5" s="4"/>
    </row>
    <row r="6" spans="1:13">
      <c r="A6" s="2"/>
      <c r="B6" s="3"/>
      <c r="C6" s="3"/>
      <c r="D6" s="3"/>
      <c r="E6" s="3"/>
      <c r="F6" s="3"/>
      <c r="G6" s="3"/>
      <c r="H6" s="8"/>
      <c r="I6" s="8"/>
      <c r="J6" s="3"/>
      <c r="K6" s="1"/>
      <c r="L6" s="3"/>
      <c r="M6" s="4"/>
    </row>
    <row r="7" spans="1:13" s="14" customFormat="1">
      <c r="A7" s="2"/>
      <c r="B7" s="3"/>
      <c r="C7" s="3"/>
      <c r="D7" s="3"/>
      <c r="E7" s="3"/>
      <c r="F7" s="3"/>
      <c r="G7" s="3"/>
      <c r="H7" s="8"/>
      <c r="I7" s="8"/>
      <c r="J7" s="3"/>
      <c r="K7" s="1"/>
      <c r="L7" s="3"/>
      <c r="M7" s="4"/>
    </row>
    <row r="8" spans="1:13" s="14" customFormat="1">
      <c r="A8" s="2"/>
      <c r="B8" s="3"/>
      <c r="C8" s="3"/>
      <c r="D8" s="3"/>
      <c r="E8" s="3"/>
      <c r="F8" s="3"/>
      <c r="G8" s="3"/>
      <c r="H8" s="8"/>
      <c r="I8" s="8"/>
      <c r="J8" s="3"/>
      <c r="K8" s="1"/>
      <c r="L8" s="3"/>
      <c r="M8" s="4"/>
    </row>
    <row r="9" spans="1:13" s="14" customFormat="1">
      <c r="A9" s="2"/>
      <c r="B9" s="3"/>
      <c r="C9" s="3"/>
      <c r="D9" s="3"/>
      <c r="E9" s="3"/>
      <c r="F9" s="3"/>
      <c r="G9" s="3"/>
      <c r="H9" s="8"/>
      <c r="I9" s="8"/>
      <c r="J9" s="3"/>
      <c r="K9" s="1"/>
      <c r="L9" s="3"/>
      <c r="M9" s="4"/>
    </row>
    <row r="10" spans="1:13">
      <c r="A10" s="2"/>
      <c r="B10" s="3"/>
      <c r="C10" s="3"/>
      <c r="D10" s="3"/>
      <c r="E10" s="3"/>
      <c r="F10" s="3"/>
      <c r="G10" s="3"/>
      <c r="H10" s="8"/>
      <c r="I10" s="8"/>
      <c r="J10" s="3"/>
      <c r="K10" s="1"/>
      <c r="L10" s="3"/>
      <c r="M10" s="4"/>
    </row>
    <row r="11" spans="1:13">
      <c r="A11" s="2"/>
      <c r="B11" s="3"/>
      <c r="C11" s="3"/>
      <c r="D11" s="3"/>
      <c r="E11" s="3"/>
      <c r="F11" s="3"/>
      <c r="G11" s="3"/>
      <c r="H11" s="8"/>
      <c r="I11" s="8"/>
      <c r="J11" s="3"/>
      <c r="K11" s="1"/>
      <c r="L11" s="3"/>
      <c r="M11" s="4"/>
    </row>
    <row r="12" spans="1:13">
      <c r="A12" s="2"/>
      <c r="B12" s="3"/>
      <c r="C12" s="3"/>
      <c r="D12" s="3"/>
      <c r="E12" s="3"/>
      <c r="F12" s="3"/>
      <c r="G12" s="3"/>
      <c r="H12" s="8"/>
      <c r="I12" s="8"/>
      <c r="J12" s="3"/>
      <c r="K12" s="1"/>
      <c r="L12" s="3"/>
      <c r="M12" s="4"/>
    </row>
    <row r="13" spans="1:13">
      <c r="A13" s="2"/>
      <c r="B13" s="3"/>
      <c r="C13" s="3"/>
      <c r="D13" s="3"/>
      <c r="E13" s="3"/>
      <c r="F13" s="3"/>
      <c r="G13" s="3"/>
      <c r="H13" s="8"/>
      <c r="I13" s="8"/>
      <c r="J13" s="3"/>
      <c r="K13" s="1"/>
      <c r="L13" s="3"/>
      <c r="M13" s="4"/>
    </row>
    <row r="14" spans="1:13">
      <c r="A14" s="2"/>
      <c r="B14" s="3"/>
      <c r="C14" s="3"/>
      <c r="D14" s="3"/>
      <c r="E14" s="3"/>
      <c r="F14" s="3"/>
      <c r="G14" s="3"/>
      <c r="H14" s="8"/>
      <c r="I14" s="8"/>
      <c r="J14" s="3"/>
      <c r="K14" s="1"/>
      <c r="L14" s="3"/>
      <c r="M14" s="4"/>
    </row>
    <row r="15" spans="1:13">
      <c r="A15" s="2"/>
      <c r="B15" s="3"/>
      <c r="C15" s="3"/>
      <c r="D15" s="3"/>
      <c r="E15" s="3"/>
      <c r="F15" s="3"/>
      <c r="G15" s="3"/>
      <c r="H15" s="8"/>
      <c r="I15" s="8"/>
      <c r="J15" s="3"/>
      <c r="K15" s="1"/>
      <c r="L15" s="3"/>
      <c r="M15" s="4"/>
    </row>
    <row r="16" spans="1:13">
      <c r="A16" s="2"/>
      <c r="B16" s="3"/>
      <c r="C16" s="3"/>
      <c r="D16" s="3"/>
      <c r="E16" s="3"/>
      <c r="F16" s="3"/>
      <c r="G16" s="3"/>
      <c r="H16" s="8"/>
      <c r="I16" s="8"/>
      <c r="J16" s="3"/>
      <c r="K16" s="1"/>
      <c r="L16" s="3"/>
      <c r="M16" s="4"/>
    </row>
    <row r="17" spans="1:13">
      <c r="A17" s="2"/>
      <c r="B17" s="3"/>
      <c r="C17" s="3"/>
      <c r="D17" s="3"/>
      <c r="E17" s="3"/>
      <c r="F17" s="3"/>
      <c r="G17" s="3"/>
      <c r="H17" s="8"/>
      <c r="I17" s="8"/>
      <c r="J17" s="3"/>
      <c r="K17" s="1"/>
      <c r="L17" s="3"/>
      <c r="M17" s="4"/>
    </row>
    <row r="18" spans="1:13">
      <c r="A18" s="2"/>
      <c r="B18" s="3"/>
      <c r="C18" s="3"/>
      <c r="D18" s="3"/>
      <c r="E18" s="3"/>
      <c r="F18" s="3"/>
      <c r="G18" s="3"/>
      <c r="H18" s="8"/>
      <c r="I18" s="8"/>
      <c r="J18" s="3"/>
      <c r="K18" s="1"/>
      <c r="L18" s="3"/>
      <c r="M18" s="4"/>
    </row>
    <row r="19" spans="1:13">
      <c r="A19" s="2"/>
      <c r="B19" s="3"/>
      <c r="C19" s="3"/>
      <c r="D19" s="3"/>
      <c r="E19" s="3"/>
      <c r="F19" s="3"/>
      <c r="G19" s="3"/>
      <c r="H19" s="8"/>
      <c r="I19" s="8"/>
      <c r="J19" s="3"/>
      <c r="K19" s="1"/>
      <c r="L19" s="3"/>
      <c r="M19" s="4"/>
    </row>
    <row r="20" spans="1:13">
      <c r="A20" s="2"/>
      <c r="B20" s="3"/>
      <c r="C20" s="3"/>
      <c r="D20" s="3"/>
      <c r="E20" s="3"/>
      <c r="F20" s="3"/>
      <c r="G20" s="3"/>
      <c r="H20" s="8"/>
      <c r="I20" s="8"/>
      <c r="J20" s="3"/>
      <c r="K20" s="1"/>
      <c r="L20" s="3"/>
      <c r="M20" s="4"/>
    </row>
    <row r="21" spans="1:13">
      <c r="A21" s="2"/>
      <c r="B21" s="3"/>
      <c r="C21" s="3"/>
      <c r="D21" s="3"/>
      <c r="E21" s="3"/>
      <c r="F21" s="3"/>
      <c r="G21" s="3"/>
      <c r="H21" s="8"/>
      <c r="I21" s="8"/>
      <c r="J21" s="3"/>
      <c r="K21" s="1"/>
      <c r="L21" s="3"/>
      <c r="M21" s="4"/>
    </row>
    <row r="22" spans="1:13">
      <c r="A22" s="2"/>
      <c r="B22" s="3"/>
      <c r="C22" s="3"/>
      <c r="D22" s="3"/>
      <c r="E22" s="3"/>
      <c r="F22" s="3"/>
      <c r="G22" s="3"/>
      <c r="H22" s="8"/>
      <c r="I22" s="8"/>
      <c r="J22" s="3"/>
      <c r="K22" s="1"/>
      <c r="L22" s="3"/>
      <c r="M22" s="4"/>
    </row>
    <row r="23" spans="1:13">
      <c r="A23" s="2"/>
      <c r="B23" s="3"/>
      <c r="C23" s="3"/>
      <c r="D23" s="3"/>
      <c r="E23" s="3"/>
      <c r="F23" s="3"/>
      <c r="G23" s="3"/>
      <c r="H23" s="8"/>
      <c r="I23" s="8"/>
      <c r="J23" s="3"/>
      <c r="K23" s="1"/>
      <c r="L23" s="3"/>
      <c r="M23" s="4"/>
    </row>
    <row r="24" spans="1:13">
      <c r="A24" s="2"/>
      <c r="B24" s="3"/>
      <c r="C24" s="3"/>
      <c r="D24" s="3"/>
      <c r="E24" s="3"/>
      <c r="F24" s="3"/>
      <c r="G24" s="3"/>
      <c r="H24" s="8"/>
      <c r="I24" s="8"/>
      <c r="J24" s="3"/>
      <c r="K24" s="1"/>
      <c r="L24" s="3"/>
      <c r="M24" s="4"/>
    </row>
    <row r="25" spans="1:13">
      <c r="A25" s="2"/>
      <c r="B25" s="3"/>
      <c r="C25" s="3"/>
      <c r="D25" s="3"/>
      <c r="E25" s="3"/>
      <c r="F25" s="3"/>
      <c r="G25" s="3"/>
      <c r="H25" s="8"/>
      <c r="I25" s="8"/>
      <c r="J25" s="3"/>
      <c r="K25" s="1"/>
      <c r="L25" s="3"/>
      <c r="M25" s="4"/>
    </row>
    <row r="26" spans="1:13">
      <c r="A26" s="2"/>
      <c r="B26" s="3"/>
      <c r="C26" s="3"/>
      <c r="D26" s="3"/>
      <c r="E26" s="3"/>
      <c r="F26" s="3"/>
      <c r="G26" s="3"/>
      <c r="H26" s="8"/>
      <c r="I26" s="8"/>
      <c r="J26" s="3"/>
      <c r="K26" s="1"/>
      <c r="L26" s="3"/>
      <c r="M26" s="4"/>
    </row>
    <row r="27" spans="1:13">
      <c r="A27" s="2"/>
      <c r="B27" s="3"/>
      <c r="C27" s="3"/>
      <c r="D27" s="3"/>
      <c r="E27" s="3"/>
      <c r="F27" s="3"/>
      <c r="G27" s="3"/>
      <c r="H27" s="8"/>
      <c r="I27" s="8"/>
      <c r="J27" s="3"/>
      <c r="K27" s="1"/>
      <c r="L27" s="3"/>
      <c r="M27" s="4"/>
    </row>
    <row r="28" spans="1:13">
      <c r="A28" s="2"/>
      <c r="B28" s="3"/>
      <c r="C28" s="3"/>
      <c r="D28" s="3"/>
      <c r="E28" s="3"/>
      <c r="F28" s="3"/>
      <c r="G28" s="3"/>
      <c r="H28" s="8"/>
      <c r="I28" s="8"/>
      <c r="J28" s="3"/>
      <c r="K28" s="1"/>
      <c r="L28" s="3"/>
      <c r="M28" s="4"/>
    </row>
    <row r="29" spans="1:13">
      <c r="A29" s="2"/>
      <c r="B29" s="3"/>
      <c r="C29" s="3"/>
      <c r="D29" s="3"/>
      <c r="E29" s="3"/>
      <c r="F29" s="3"/>
      <c r="G29" s="3"/>
      <c r="H29" s="8"/>
      <c r="I29" s="8"/>
      <c r="J29" s="3"/>
      <c r="K29" s="1"/>
      <c r="L29" s="3"/>
      <c r="M29" s="4"/>
    </row>
    <row r="30" spans="1:13">
      <c r="A30" s="2"/>
      <c r="B30" s="3"/>
      <c r="C30" s="3"/>
      <c r="D30" s="3"/>
      <c r="E30" s="3"/>
      <c r="F30" s="3"/>
      <c r="G30" s="3"/>
      <c r="H30" s="8"/>
      <c r="I30" s="8"/>
      <c r="J30" s="3"/>
      <c r="K30" s="1"/>
      <c r="L30" s="3"/>
      <c r="M30" s="4"/>
    </row>
    <row r="31" spans="1:13">
      <c r="A31" s="2"/>
      <c r="B31" s="3"/>
      <c r="C31" s="3"/>
      <c r="D31" s="3"/>
      <c r="E31" s="3"/>
      <c r="F31" s="3"/>
      <c r="G31" s="3"/>
      <c r="H31" s="8"/>
      <c r="I31" s="8"/>
      <c r="J31" s="3"/>
      <c r="K31" s="1"/>
      <c r="L31" s="3"/>
      <c r="M31" s="4"/>
    </row>
    <row r="32" spans="1:13">
      <c r="A32" s="2"/>
      <c r="B32" s="3"/>
      <c r="C32" s="3"/>
      <c r="D32" s="3"/>
      <c r="E32" s="3"/>
      <c r="F32" s="3"/>
      <c r="G32" s="3"/>
      <c r="H32" s="8"/>
      <c r="I32" s="8"/>
      <c r="J32" s="3"/>
      <c r="K32" s="1"/>
      <c r="L32" s="3"/>
      <c r="M32" s="4"/>
    </row>
    <row r="33" spans="1:13" ht="15.75" thickBot="1">
      <c r="A33" s="5"/>
      <c r="B33" s="6"/>
      <c r="C33" s="6"/>
      <c r="D33" s="6"/>
      <c r="E33" s="6"/>
      <c r="F33" s="6"/>
      <c r="G33" s="6"/>
      <c r="H33" s="9"/>
      <c r="I33" s="9"/>
      <c r="J33" s="6"/>
      <c r="K33" s="11"/>
      <c r="L33" s="6"/>
      <c r="M33" s="7"/>
    </row>
    <row r="34" spans="1:13" ht="15.75" thickBot="1">
      <c r="A34" s="24" t="s">
        <v>13</v>
      </c>
      <c r="B34" s="15"/>
      <c r="C34" s="15"/>
      <c r="D34" s="16"/>
      <c r="E34" s="17"/>
      <c r="F34" s="17"/>
      <c r="G34" s="21">
        <f>SUM(G4:G33)</f>
        <v>0</v>
      </c>
      <c r="H34" s="22">
        <f>SUM(H4:H33)</f>
        <v>0</v>
      </c>
      <c r="I34" s="22">
        <f>SUM(I4:I33)</f>
        <v>0</v>
      </c>
      <c r="J34" s="18"/>
      <c r="K34" s="18"/>
      <c r="L34" s="17"/>
      <c r="M34" s="19"/>
    </row>
    <row r="37" spans="1:13" ht="15" customHeight="1">
      <c r="H37" s="23"/>
    </row>
    <row r="38" spans="1:13" ht="15" customHeight="1">
      <c r="H38" s="23"/>
    </row>
  </sheetData>
  <mergeCells count="14">
    <mergeCell ref="A1:M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</mergeCells>
  <pageMargins left="0.17" right="0.17" top="0.75" bottom="0.75" header="0.3" footer="0.3"/>
  <pageSetup orientation="landscape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2D050"/>
  </sheetPr>
  <dimension ref="A1:M38"/>
  <sheetViews>
    <sheetView zoomScaleNormal="100" workbookViewId="0">
      <selection activeCell="G21" sqref="G21"/>
    </sheetView>
  </sheetViews>
  <sheetFormatPr defaultRowHeight="15"/>
  <cols>
    <col min="1" max="1" width="9.42578125" style="13" customWidth="1"/>
    <col min="2" max="2" width="9.7109375" style="13" customWidth="1"/>
    <col min="3" max="3" width="16.7109375" style="13" bestFit="1" customWidth="1"/>
    <col min="4" max="4" width="39.85546875" style="13" bestFit="1" customWidth="1"/>
    <col min="5" max="5" width="9.140625" style="13" customWidth="1"/>
    <col min="6" max="6" width="5.42578125" style="13" customWidth="1"/>
    <col min="7" max="7" width="5.140625" style="14" customWidth="1"/>
    <col min="8" max="8" width="10.140625" style="20" customWidth="1"/>
    <col min="9" max="9" width="11.5703125" style="20" bestFit="1" customWidth="1"/>
    <col min="10" max="11" width="13.140625" style="14" bestFit="1" customWidth="1"/>
    <col min="12" max="12" width="8.140625" style="13" customWidth="1"/>
    <col min="13" max="13" width="7.140625" style="13" customWidth="1"/>
    <col min="14" max="14" width="11" style="13" bestFit="1" customWidth="1"/>
    <col min="15" max="16384" width="9.140625" style="13"/>
  </cols>
  <sheetData>
    <row r="1" spans="1:13" ht="16.5" thickBot="1">
      <c r="A1" s="89" t="s">
        <v>27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</row>
    <row r="2" spans="1:13" ht="15" customHeight="1">
      <c r="A2" s="90" t="s">
        <v>6</v>
      </c>
      <c r="B2" s="92" t="s">
        <v>7</v>
      </c>
      <c r="C2" s="83" t="s">
        <v>8</v>
      </c>
      <c r="D2" s="83" t="s">
        <v>0</v>
      </c>
      <c r="E2" s="92" t="s">
        <v>9</v>
      </c>
      <c r="F2" s="92" t="s">
        <v>10</v>
      </c>
      <c r="G2" s="83" t="s">
        <v>1</v>
      </c>
      <c r="H2" s="94" t="s">
        <v>2</v>
      </c>
      <c r="I2" s="94" t="s">
        <v>3</v>
      </c>
      <c r="J2" s="83" t="s">
        <v>5</v>
      </c>
      <c r="K2" s="83" t="s">
        <v>4</v>
      </c>
      <c r="L2" s="85" t="s">
        <v>11</v>
      </c>
      <c r="M2" s="87" t="s">
        <v>12</v>
      </c>
    </row>
    <row r="3" spans="1:13" ht="15.75" thickBot="1">
      <c r="A3" s="91"/>
      <c r="B3" s="93"/>
      <c r="C3" s="84"/>
      <c r="D3" s="84"/>
      <c r="E3" s="93"/>
      <c r="F3" s="93"/>
      <c r="G3" s="84"/>
      <c r="H3" s="95"/>
      <c r="I3" s="95"/>
      <c r="J3" s="84"/>
      <c r="K3" s="84"/>
      <c r="L3" s="86"/>
      <c r="M3" s="88"/>
    </row>
    <row r="4" spans="1:13" s="14" customFormat="1" ht="13.5" customHeight="1">
      <c r="A4" s="100" t="s">
        <v>14</v>
      </c>
      <c r="B4" s="74" t="s">
        <v>15</v>
      </c>
      <c r="C4" s="74" t="s">
        <v>16</v>
      </c>
      <c r="D4" s="74" t="s">
        <v>17</v>
      </c>
      <c r="E4" s="74" t="s">
        <v>18</v>
      </c>
      <c r="F4" s="74" t="s">
        <v>19</v>
      </c>
      <c r="G4" s="74">
        <v>100</v>
      </c>
      <c r="H4" s="25">
        <v>3800</v>
      </c>
      <c r="I4" s="25">
        <v>895436</v>
      </c>
      <c r="J4" s="100" t="s">
        <v>24</v>
      </c>
      <c r="K4" s="26">
        <v>801168568474</v>
      </c>
      <c r="L4" s="106" t="s">
        <v>20</v>
      </c>
      <c r="M4" s="27"/>
    </row>
    <row r="5" spans="1:13">
      <c r="A5" s="100"/>
      <c r="B5" s="3" t="s">
        <v>23</v>
      </c>
      <c r="C5" s="3" t="s">
        <v>22</v>
      </c>
      <c r="D5" s="3" t="s">
        <v>21</v>
      </c>
      <c r="E5" s="3" t="s">
        <v>18</v>
      </c>
      <c r="F5" s="3" t="s">
        <v>19</v>
      </c>
      <c r="G5" s="3">
        <v>60</v>
      </c>
      <c r="H5" s="8">
        <v>2280</v>
      </c>
      <c r="I5" s="8">
        <v>577744.02</v>
      </c>
      <c r="J5" s="100"/>
      <c r="K5" s="1">
        <v>891168758618</v>
      </c>
      <c r="L5" s="106"/>
      <c r="M5" s="12"/>
    </row>
    <row r="6" spans="1:13">
      <c r="A6" s="101"/>
      <c r="B6" s="3" t="s">
        <v>23</v>
      </c>
      <c r="C6" s="3" t="s">
        <v>26</v>
      </c>
      <c r="D6" s="3" t="s">
        <v>25</v>
      </c>
      <c r="E6" s="3" t="s">
        <v>18</v>
      </c>
      <c r="F6" s="3" t="s">
        <v>19</v>
      </c>
      <c r="G6" s="3">
        <v>140</v>
      </c>
      <c r="H6" s="8">
        <v>5320</v>
      </c>
      <c r="I6" s="8">
        <v>1204342</v>
      </c>
      <c r="J6" s="101"/>
      <c r="K6" s="1">
        <v>841168809656</v>
      </c>
      <c r="L6" s="107"/>
      <c r="M6" s="4"/>
    </row>
    <row r="7" spans="1:13" s="14" customFormat="1">
      <c r="A7" s="3" t="s">
        <v>28</v>
      </c>
      <c r="B7" s="3" t="s">
        <v>14</v>
      </c>
      <c r="C7" s="3" t="s">
        <v>29</v>
      </c>
      <c r="D7" s="3" t="s">
        <v>30</v>
      </c>
      <c r="E7" s="3" t="s">
        <v>18</v>
      </c>
      <c r="F7" s="3">
        <v>29</v>
      </c>
      <c r="G7" s="3">
        <v>431</v>
      </c>
      <c r="H7" s="8">
        <v>14922.8</v>
      </c>
      <c r="I7" s="8">
        <v>3714166</v>
      </c>
      <c r="J7" s="3" t="s">
        <v>31</v>
      </c>
      <c r="K7" s="1">
        <v>871170884541</v>
      </c>
      <c r="L7" s="10" t="s">
        <v>32</v>
      </c>
      <c r="M7" s="4"/>
    </row>
    <row r="8" spans="1:13" s="14" customFormat="1">
      <c r="A8" s="3" t="s">
        <v>33</v>
      </c>
      <c r="B8" s="3" t="s">
        <v>14</v>
      </c>
      <c r="C8" s="3" t="s">
        <v>34</v>
      </c>
      <c r="D8" s="3" t="s">
        <v>30</v>
      </c>
      <c r="E8" s="3" t="s">
        <v>18</v>
      </c>
      <c r="F8" s="3">
        <v>29</v>
      </c>
      <c r="G8" s="3">
        <v>405</v>
      </c>
      <c r="H8" s="8">
        <v>13715</v>
      </c>
      <c r="I8" s="8">
        <v>3196678</v>
      </c>
      <c r="J8" s="3" t="s">
        <v>36</v>
      </c>
      <c r="K8" s="1">
        <v>891170883656</v>
      </c>
      <c r="L8" s="10" t="s">
        <v>35</v>
      </c>
      <c r="M8" s="4"/>
    </row>
    <row r="9" spans="1:13" s="14" customFormat="1">
      <c r="A9" s="99" t="s">
        <v>33</v>
      </c>
      <c r="B9" s="3" t="s">
        <v>14</v>
      </c>
      <c r="C9" s="3" t="s">
        <v>37</v>
      </c>
      <c r="D9" s="3" t="s">
        <v>38</v>
      </c>
      <c r="E9" s="99" t="s">
        <v>18</v>
      </c>
      <c r="F9" s="99" t="s">
        <v>19</v>
      </c>
      <c r="G9" s="3">
        <v>80</v>
      </c>
      <c r="H9" s="8">
        <v>3040</v>
      </c>
      <c r="I9" s="8">
        <v>594350</v>
      </c>
      <c r="J9" s="99" t="s">
        <v>36</v>
      </c>
      <c r="K9" s="1">
        <v>871171135828</v>
      </c>
      <c r="L9" s="105" t="s">
        <v>39</v>
      </c>
      <c r="M9" s="4"/>
    </row>
    <row r="10" spans="1:13">
      <c r="A10" s="100"/>
      <c r="B10" s="3" t="s">
        <v>40</v>
      </c>
      <c r="C10" s="3" t="s">
        <v>41</v>
      </c>
      <c r="D10" s="3" t="s">
        <v>42</v>
      </c>
      <c r="E10" s="100"/>
      <c r="F10" s="100"/>
      <c r="G10" s="3">
        <v>60</v>
      </c>
      <c r="H10" s="8">
        <v>1560</v>
      </c>
      <c r="I10" s="8">
        <v>321048</v>
      </c>
      <c r="J10" s="100"/>
      <c r="K10" s="1">
        <v>871171135828</v>
      </c>
      <c r="L10" s="106"/>
      <c r="M10" s="4"/>
    </row>
    <row r="11" spans="1:13">
      <c r="A11" s="101"/>
      <c r="B11" s="3" t="s">
        <v>40</v>
      </c>
      <c r="C11" s="3" t="s">
        <v>43</v>
      </c>
      <c r="D11" s="3" t="s">
        <v>44</v>
      </c>
      <c r="E11" s="101"/>
      <c r="F11" s="101"/>
      <c r="G11" s="3">
        <v>61</v>
      </c>
      <c r="H11" s="8">
        <v>2135</v>
      </c>
      <c r="I11" s="8">
        <v>402288</v>
      </c>
      <c r="J11" s="101"/>
      <c r="K11" s="1">
        <v>881171081582</v>
      </c>
      <c r="L11" s="107"/>
      <c r="M11" s="4"/>
    </row>
    <row r="12" spans="1:13">
      <c r="A12" s="102" t="s">
        <v>45</v>
      </c>
      <c r="B12" s="3" t="s">
        <v>28</v>
      </c>
      <c r="C12" s="3" t="s">
        <v>46</v>
      </c>
      <c r="D12" s="3" t="s">
        <v>47</v>
      </c>
      <c r="E12" s="99" t="s">
        <v>18</v>
      </c>
      <c r="F12" s="99" t="s">
        <v>19</v>
      </c>
      <c r="G12" s="3">
        <v>140</v>
      </c>
      <c r="H12" s="8">
        <v>3780</v>
      </c>
      <c r="I12" s="8">
        <v>836268</v>
      </c>
      <c r="J12" s="99" t="s">
        <v>48</v>
      </c>
      <c r="K12" s="1">
        <v>811172020749</v>
      </c>
      <c r="L12" s="105" t="s">
        <v>49</v>
      </c>
      <c r="M12" s="4"/>
    </row>
    <row r="13" spans="1:13">
      <c r="A13" s="103"/>
      <c r="B13" s="3" t="s">
        <v>40</v>
      </c>
      <c r="C13" s="3" t="s">
        <v>50</v>
      </c>
      <c r="D13" s="3" t="s">
        <v>51</v>
      </c>
      <c r="E13" s="100"/>
      <c r="F13" s="100"/>
      <c r="G13" s="3">
        <v>80</v>
      </c>
      <c r="H13" s="8">
        <v>2400</v>
      </c>
      <c r="I13" s="8">
        <v>519234</v>
      </c>
      <c r="J13" s="100"/>
      <c r="K13" s="1">
        <v>841171151148</v>
      </c>
      <c r="L13" s="106"/>
      <c r="M13" s="4"/>
    </row>
    <row r="14" spans="1:13">
      <c r="A14" s="103"/>
      <c r="B14" s="3" t="s">
        <v>40</v>
      </c>
      <c r="C14" s="3" t="s">
        <v>52</v>
      </c>
      <c r="D14" s="3" t="s">
        <v>53</v>
      </c>
      <c r="E14" s="100"/>
      <c r="F14" s="100"/>
      <c r="G14" s="3">
        <v>55</v>
      </c>
      <c r="H14" s="8">
        <v>1650</v>
      </c>
      <c r="I14" s="8">
        <v>352536</v>
      </c>
      <c r="J14" s="100"/>
      <c r="K14" s="1">
        <v>831171155345</v>
      </c>
      <c r="L14" s="106"/>
      <c r="M14" s="4"/>
    </row>
    <row r="15" spans="1:13">
      <c r="A15" s="103"/>
      <c r="B15" s="3" t="s">
        <v>54</v>
      </c>
      <c r="C15" s="3" t="s">
        <v>55</v>
      </c>
      <c r="D15" s="3" t="s">
        <v>56</v>
      </c>
      <c r="E15" s="100"/>
      <c r="F15" s="100"/>
      <c r="G15" s="3">
        <v>56</v>
      </c>
      <c r="H15" s="8">
        <v>1456</v>
      </c>
      <c r="I15" s="8">
        <v>327629</v>
      </c>
      <c r="J15" s="100"/>
      <c r="K15" s="1">
        <v>871171629813</v>
      </c>
      <c r="L15" s="106"/>
      <c r="M15" s="4"/>
    </row>
    <row r="16" spans="1:13">
      <c r="A16" s="104"/>
      <c r="B16" s="3" t="s">
        <v>28</v>
      </c>
      <c r="C16" s="3" t="s">
        <v>57</v>
      </c>
      <c r="D16" s="3" t="s">
        <v>56</v>
      </c>
      <c r="E16" s="101"/>
      <c r="F16" s="101"/>
      <c r="G16" s="3">
        <v>255</v>
      </c>
      <c r="H16" s="8">
        <v>6855</v>
      </c>
      <c r="I16" s="8">
        <v>1513993</v>
      </c>
      <c r="J16" s="101"/>
      <c r="K16" s="1">
        <v>821171986036</v>
      </c>
      <c r="L16" s="107"/>
      <c r="M16" s="4"/>
    </row>
    <row r="17" spans="1:13">
      <c r="A17" s="2" t="s">
        <v>58</v>
      </c>
      <c r="B17" s="3" t="s">
        <v>59</v>
      </c>
      <c r="C17" s="3" t="s">
        <v>60</v>
      </c>
      <c r="D17" s="3" t="s">
        <v>30</v>
      </c>
      <c r="E17" s="3" t="s">
        <v>18</v>
      </c>
      <c r="F17" s="3">
        <v>30</v>
      </c>
      <c r="G17" s="3">
        <v>500</v>
      </c>
      <c r="H17" s="8">
        <v>17900.599999999999</v>
      </c>
      <c r="I17" s="8">
        <v>4069066</v>
      </c>
      <c r="J17" s="3" t="s">
        <v>61</v>
      </c>
      <c r="K17" s="1">
        <v>811172136918</v>
      </c>
      <c r="L17" s="10" t="s">
        <v>62</v>
      </c>
      <c r="M17" s="4"/>
    </row>
    <row r="18" spans="1:13">
      <c r="A18" s="96" t="s">
        <v>63</v>
      </c>
      <c r="B18" s="3" t="s">
        <v>59</v>
      </c>
      <c r="C18" s="3" t="s">
        <v>64</v>
      </c>
      <c r="D18" s="3" t="s">
        <v>30</v>
      </c>
      <c r="E18" s="3" t="s">
        <v>18</v>
      </c>
      <c r="F18" s="3">
        <v>30</v>
      </c>
      <c r="G18" s="3">
        <v>200</v>
      </c>
      <c r="H18" s="77">
        <v>7039</v>
      </c>
      <c r="I18" s="8">
        <v>1604280</v>
      </c>
      <c r="J18" s="99" t="s">
        <v>69</v>
      </c>
      <c r="K18" s="1">
        <v>881172137602</v>
      </c>
      <c r="L18" s="105" t="s">
        <v>70</v>
      </c>
      <c r="M18" s="4"/>
    </row>
    <row r="19" spans="1:13">
      <c r="A19" s="97"/>
      <c r="B19" s="3" t="s">
        <v>65</v>
      </c>
      <c r="C19" s="3" t="s">
        <v>66</v>
      </c>
      <c r="D19" s="3" t="s">
        <v>67</v>
      </c>
      <c r="E19" s="3" t="s">
        <v>18</v>
      </c>
      <c r="F19" s="3" t="s">
        <v>19</v>
      </c>
      <c r="G19" s="3">
        <v>30</v>
      </c>
      <c r="H19" s="77">
        <v>1140</v>
      </c>
      <c r="I19" s="8">
        <v>243996</v>
      </c>
      <c r="J19" s="100"/>
      <c r="K19" s="76">
        <v>821172707366</v>
      </c>
      <c r="L19" s="106"/>
      <c r="M19" s="4"/>
    </row>
    <row r="20" spans="1:13">
      <c r="A20" s="98"/>
      <c r="B20" s="3" t="s">
        <v>65</v>
      </c>
      <c r="C20" s="3" t="s">
        <v>68</v>
      </c>
      <c r="D20" s="3" t="s">
        <v>67</v>
      </c>
      <c r="E20" s="3" t="s">
        <v>18</v>
      </c>
      <c r="F20" s="3" t="s">
        <v>19</v>
      </c>
      <c r="G20" s="3">
        <v>180</v>
      </c>
      <c r="H20" s="77">
        <v>6840</v>
      </c>
      <c r="I20" s="8">
        <v>1452248</v>
      </c>
      <c r="J20" s="101"/>
      <c r="K20" s="76">
        <v>881172798243</v>
      </c>
      <c r="L20" s="107"/>
      <c r="M20" s="4"/>
    </row>
    <row r="21" spans="1:13">
      <c r="A21" s="2" t="s">
        <v>71</v>
      </c>
      <c r="B21" s="3" t="s">
        <v>72</v>
      </c>
      <c r="C21" s="3" t="s">
        <v>73</v>
      </c>
      <c r="D21" s="3" t="s">
        <v>30</v>
      </c>
      <c r="E21" s="3" t="s">
        <v>18</v>
      </c>
      <c r="F21" s="3">
        <v>31</v>
      </c>
      <c r="G21" s="3">
        <v>530</v>
      </c>
      <c r="H21" s="8">
        <v>18313</v>
      </c>
      <c r="I21" s="8">
        <v>4225111</v>
      </c>
      <c r="J21" s="3" t="s">
        <v>74</v>
      </c>
      <c r="K21" s="1">
        <v>801173386957</v>
      </c>
      <c r="L21" s="10" t="s">
        <v>75</v>
      </c>
      <c r="M21" s="4"/>
    </row>
    <row r="22" spans="1:13">
      <c r="A22" s="2" t="s">
        <v>77</v>
      </c>
      <c r="B22" s="3" t="s">
        <v>78</v>
      </c>
      <c r="C22" s="3" t="s">
        <v>79</v>
      </c>
      <c r="D22" s="3" t="s">
        <v>80</v>
      </c>
      <c r="E22" s="3" t="s">
        <v>81</v>
      </c>
      <c r="F22" s="3">
        <v>30</v>
      </c>
      <c r="G22" s="3">
        <v>111</v>
      </c>
      <c r="H22" s="8">
        <v>4844.7</v>
      </c>
      <c r="I22" s="8">
        <v>1366576</v>
      </c>
      <c r="J22" s="3" t="s">
        <v>82</v>
      </c>
      <c r="K22" s="76">
        <v>791205232146</v>
      </c>
      <c r="L22" s="10" t="s">
        <v>83</v>
      </c>
      <c r="M22" s="4"/>
    </row>
    <row r="23" spans="1:13">
      <c r="A23" s="2" t="s">
        <v>76</v>
      </c>
      <c r="B23" s="3" t="s">
        <v>72</v>
      </c>
      <c r="C23" s="3" t="s">
        <v>84</v>
      </c>
      <c r="D23" s="3" t="s">
        <v>30</v>
      </c>
      <c r="E23" s="3" t="s">
        <v>18</v>
      </c>
      <c r="F23" s="3">
        <v>31</v>
      </c>
      <c r="G23" s="3">
        <v>300</v>
      </c>
      <c r="H23" s="8">
        <v>10855.2</v>
      </c>
      <c r="I23" s="8">
        <v>2692882</v>
      </c>
      <c r="J23" s="3" t="s">
        <v>85</v>
      </c>
      <c r="K23" s="1">
        <v>891173387931</v>
      </c>
      <c r="L23" s="10" t="s">
        <v>86</v>
      </c>
      <c r="M23" s="4"/>
    </row>
    <row r="24" spans="1:13">
      <c r="A24" s="96" t="s">
        <v>110</v>
      </c>
      <c r="B24" s="3" t="s">
        <v>71</v>
      </c>
      <c r="C24" s="3" t="s">
        <v>111</v>
      </c>
      <c r="D24" s="3" t="s">
        <v>30</v>
      </c>
      <c r="E24" s="3" t="s">
        <v>18</v>
      </c>
      <c r="F24" s="3">
        <v>32</v>
      </c>
      <c r="G24" s="3">
        <v>485</v>
      </c>
      <c r="H24" s="78">
        <v>15800.2</v>
      </c>
      <c r="I24" s="8">
        <v>3645533</v>
      </c>
      <c r="J24" s="99" t="s">
        <v>112</v>
      </c>
      <c r="K24" s="1">
        <v>831174684057</v>
      </c>
      <c r="L24" s="99">
        <v>11</v>
      </c>
      <c r="M24" s="4"/>
    </row>
    <row r="25" spans="1:13">
      <c r="A25" s="98"/>
      <c r="B25" s="3" t="s">
        <v>159</v>
      </c>
      <c r="C25" s="3" t="s">
        <v>160</v>
      </c>
      <c r="D25" s="3" t="s">
        <v>47</v>
      </c>
      <c r="E25" s="3" t="s">
        <v>161</v>
      </c>
      <c r="F25" s="3" t="s">
        <v>19</v>
      </c>
      <c r="G25" s="3">
        <v>60</v>
      </c>
      <c r="H25" s="8">
        <v>1620</v>
      </c>
      <c r="I25" s="8">
        <v>325061.09999999998</v>
      </c>
      <c r="J25" s="101"/>
      <c r="K25" s="1">
        <v>881174092750</v>
      </c>
      <c r="L25" s="101"/>
      <c r="M25" s="4"/>
    </row>
    <row r="26" spans="1:13">
      <c r="A26" s="2"/>
      <c r="B26" s="3"/>
      <c r="C26" s="3"/>
      <c r="D26" s="3"/>
      <c r="E26" s="3"/>
      <c r="F26" s="3"/>
      <c r="G26" s="3"/>
      <c r="H26" s="8"/>
      <c r="I26" s="8"/>
      <c r="J26" s="3"/>
      <c r="K26" s="1"/>
      <c r="L26" s="3"/>
      <c r="M26" s="4"/>
    </row>
    <row r="27" spans="1:13">
      <c r="A27" s="2"/>
      <c r="B27" s="3"/>
      <c r="C27" s="3"/>
      <c r="D27" s="3"/>
      <c r="E27" s="3"/>
      <c r="F27" s="3"/>
      <c r="G27" s="3"/>
      <c r="H27" s="8"/>
      <c r="I27" s="8"/>
      <c r="J27" s="3"/>
      <c r="K27" s="1"/>
      <c r="L27" s="3"/>
      <c r="M27" s="4"/>
    </row>
    <row r="28" spans="1:13">
      <c r="A28" s="2"/>
      <c r="B28" s="3"/>
      <c r="C28" s="3"/>
      <c r="D28" s="3"/>
      <c r="E28" s="3"/>
      <c r="F28" s="3"/>
      <c r="G28" s="3"/>
      <c r="H28" s="8"/>
      <c r="I28" s="8"/>
      <c r="J28" s="3"/>
      <c r="K28" s="1"/>
      <c r="L28" s="3"/>
      <c r="M28" s="4"/>
    </row>
    <row r="29" spans="1:13">
      <c r="A29" s="2"/>
      <c r="B29" s="3"/>
      <c r="C29" s="3"/>
      <c r="D29" s="3"/>
      <c r="E29" s="3"/>
      <c r="F29" s="3"/>
      <c r="G29" s="3"/>
      <c r="H29" s="8"/>
      <c r="I29" s="8"/>
      <c r="J29" s="3"/>
      <c r="K29" s="1"/>
      <c r="L29" s="3"/>
      <c r="M29" s="4"/>
    </row>
    <row r="30" spans="1:13">
      <c r="A30" s="2"/>
      <c r="B30" s="3"/>
      <c r="C30" s="3"/>
      <c r="D30" s="3"/>
      <c r="E30" s="3"/>
      <c r="F30" s="3"/>
      <c r="G30" s="3"/>
      <c r="H30" s="8"/>
      <c r="I30" s="8"/>
      <c r="J30" s="3"/>
      <c r="K30" s="1"/>
      <c r="L30" s="3"/>
      <c r="M30" s="4"/>
    </row>
    <row r="31" spans="1:13">
      <c r="A31" s="2"/>
      <c r="B31" s="3"/>
      <c r="C31" s="3"/>
      <c r="D31" s="3"/>
      <c r="E31" s="3"/>
      <c r="F31" s="3"/>
      <c r="G31" s="3"/>
      <c r="H31" s="8"/>
      <c r="I31" s="8"/>
      <c r="J31" s="3"/>
      <c r="K31" s="1"/>
      <c r="L31" s="3"/>
      <c r="M31" s="4"/>
    </row>
    <row r="32" spans="1:13">
      <c r="A32" s="2"/>
      <c r="B32" s="3"/>
      <c r="C32" s="3"/>
      <c r="D32" s="3"/>
      <c r="E32" s="3"/>
      <c r="F32" s="3"/>
      <c r="G32" s="3"/>
      <c r="H32" s="8"/>
      <c r="I32" s="8"/>
      <c r="J32" s="3"/>
      <c r="K32" s="1"/>
      <c r="L32" s="3"/>
      <c r="M32" s="4"/>
    </row>
    <row r="33" spans="1:13" ht="15.75" thickBot="1">
      <c r="A33" s="5"/>
      <c r="B33" s="6"/>
      <c r="C33" s="6"/>
      <c r="D33" s="6"/>
      <c r="E33" s="6"/>
      <c r="F33" s="6"/>
      <c r="G33" s="6"/>
      <c r="H33" s="9"/>
      <c r="I33" s="9"/>
      <c r="J33" s="6"/>
      <c r="K33" s="11"/>
      <c r="L33" s="6"/>
      <c r="M33" s="7"/>
    </row>
    <row r="34" spans="1:13" ht="15.75" thickBot="1">
      <c r="A34" s="24" t="s">
        <v>13</v>
      </c>
      <c r="B34" s="15"/>
      <c r="C34" s="15"/>
      <c r="D34" s="16"/>
      <c r="E34" s="17"/>
      <c r="F34" s="17"/>
      <c r="G34" s="75">
        <f>SUM(G4:G33)</f>
        <v>4319</v>
      </c>
      <c r="H34" s="22">
        <f>SUM(H4:H33)</f>
        <v>147266.5</v>
      </c>
      <c r="I34" s="22">
        <f>SUM(I4:I33)</f>
        <v>34080465.119999997</v>
      </c>
      <c r="J34" s="18"/>
      <c r="K34" s="18"/>
      <c r="L34" s="17"/>
      <c r="M34" s="19"/>
    </row>
    <row r="37" spans="1:13" ht="15" customHeight="1">
      <c r="H37" s="23"/>
    </row>
    <row r="38" spans="1:13" ht="15" customHeight="1">
      <c r="H38" s="23"/>
    </row>
  </sheetData>
  <mergeCells count="33">
    <mergeCell ref="A24:A25"/>
    <mergeCell ref="J24:J25"/>
    <mergeCell ref="L24:L25"/>
    <mergeCell ref="L18:L20"/>
    <mergeCell ref="A1:M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L12:L16"/>
    <mergeCell ref="A4:A6"/>
    <mergeCell ref="J4:J6"/>
    <mergeCell ref="L4:L6"/>
    <mergeCell ref="A9:A11"/>
    <mergeCell ref="E9:E11"/>
    <mergeCell ref="F9:F11"/>
    <mergeCell ref="J9:J11"/>
    <mergeCell ref="L9:L11"/>
    <mergeCell ref="A18:A20"/>
    <mergeCell ref="J18:J20"/>
    <mergeCell ref="A12:A16"/>
    <mergeCell ref="E12:E16"/>
    <mergeCell ref="F12:F16"/>
    <mergeCell ref="J12:J16"/>
  </mergeCells>
  <pageMargins left="0.17" right="0.17" top="0.75" bottom="0.75" header="0.3" footer="0.3"/>
  <pageSetup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0B050"/>
  </sheetPr>
  <dimension ref="A1:M38"/>
  <sheetViews>
    <sheetView zoomScaleNormal="100" workbookViewId="0">
      <selection activeCell="K12" sqref="K12"/>
    </sheetView>
  </sheetViews>
  <sheetFormatPr defaultRowHeight="15"/>
  <cols>
    <col min="1" max="1" width="9.42578125" style="13" customWidth="1"/>
    <col min="2" max="2" width="9.7109375" style="13" customWidth="1"/>
    <col min="3" max="3" width="16.7109375" style="13" bestFit="1" customWidth="1"/>
    <col min="4" max="4" width="39.85546875" style="13" bestFit="1" customWidth="1"/>
    <col min="5" max="5" width="9.140625" style="13" customWidth="1"/>
    <col min="6" max="6" width="5.42578125" style="13" customWidth="1"/>
    <col min="7" max="7" width="5.140625" style="14" customWidth="1"/>
    <col min="8" max="8" width="10.140625" style="20" customWidth="1"/>
    <col min="9" max="9" width="11.5703125" style="20" bestFit="1" customWidth="1"/>
    <col min="10" max="11" width="13.140625" style="14" bestFit="1" customWidth="1"/>
    <col min="12" max="12" width="8.140625" style="13" customWidth="1"/>
    <col min="13" max="13" width="7.140625" style="13" customWidth="1"/>
    <col min="14" max="14" width="11" style="13" bestFit="1" customWidth="1"/>
    <col min="15" max="16384" width="9.140625" style="13"/>
  </cols>
  <sheetData>
    <row r="1" spans="1:13" ht="16.5" thickBot="1">
      <c r="A1" s="89" t="s">
        <v>151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</row>
    <row r="2" spans="1:13" ht="15" customHeight="1">
      <c r="A2" s="90" t="s">
        <v>6</v>
      </c>
      <c r="B2" s="92" t="s">
        <v>7</v>
      </c>
      <c r="C2" s="83" t="s">
        <v>8</v>
      </c>
      <c r="D2" s="83" t="s">
        <v>0</v>
      </c>
      <c r="E2" s="92" t="s">
        <v>9</v>
      </c>
      <c r="F2" s="92" t="s">
        <v>10</v>
      </c>
      <c r="G2" s="83" t="s">
        <v>1</v>
      </c>
      <c r="H2" s="94" t="s">
        <v>2</v>
      </c>
      <c r="I2" s="94" t="s">
        <v>3</v>
      </c>
      <c r="J2" s="83" t="s">
        <v>5</v>
      </c>
      <c r="K2" s="83" t="s">
        <v>4</v>
      </c>
      <c r="L2" s="85" t="s">
        <v>11</v>
      </c>
      <c r="M2" s="87" t="s">
        <v>12</v>
      </c>
    </row>
    <row r="3" spans="1:13" ht="15.75" thickBot="1">
      <c r="A3" s="91"/>
      <c r="B3" s="93"/>
      <c r="C3" s="84"/>
      <c r="D3" s="84"/>
      <c r="E3" s="93"/>
      <c r="F3" s="93"/>
      <c r="G3" s="84"/>
      <c r="H3" s="95"/>
      <c r="I3" s="95"/>
      <c r="J3" s="84"/>
      <c r="K3" s="84"/>
      <c r="L3" s="86"/>
      <c r="M3" s="88"/>
    </row>
    <row r="4" spans="1:13" s="14" customFormat="1" ht="13.5" customHeight="1">
      <c r="A4" s="2" t="s">
        <v>113</v>
      </c>
      <c r="B4" s="3" t="s">
        <v>71</v>
      </c>
      <c r="C4" s="3" t="s">
        <v>114</v>
      </c>
      <c r="D4" s="3" t="s">
        <v>115</v>
      </c>
      <c r="E4" s="3" t="s">
        <v>18</v>
      </c>
      <c r="F4" s="3">
        <v>32</v>
      </c>
      <c r="G4" s="3">
        <v>507</v>
      </c>
      <c r="H4" s="8">
        <v>17782.400000000001</v>
      </c>
      <c r="I4" s="8">
        <v>4165429</v>
      </c>
      <c r="J4" s="3" t="s">
        <v>116</v>
      </c>
      <c r="K4" s="1">
        <v>841174682690</v>
      </c>
      <c r="L4" s="3">
        <v>12</v>
      </c>
      <c r="M4" s="4"/>
    </row>
    <row r="5" spans="1:13">
      <c r="A5" s="2" t="s">
        <v>117</v>
      </c>
      <c r="B5" s="3" t="s">
        <v>118</v>
      </c>
      <c r="C5" s="3" t="s">
        <v>119</v>
      </c>
      <c r="D5" s="3" t="s">
        <v>120</v>
      </c>
      <c r="E5" s="3" t="s">
        <v>81</v>
      </c>
      <c r="F5" s="3">
        <v>32</v>
      </c>
      <c r="G5" s="3">
        <v>208</v>
      </c>
      <c r="H5" s="8">
        <v>7181.3</v>
      </c>
      <c r="I5" s="8">
        <v>1432548</v>
      </c>
      <c r="J5" s="3" t="s">
        <v>121</v>
      </c>
      <c r="K5" s="1">
        <v>721207889291</v>
      </c>
      <c r="L5" s="3">
        <v>13</v>
      </c>
      <c r="M5" s="4"/>
    </row>
    <row r="6" spans="1:13">
      <c r="A6" s="2" t="s">
        <v>122</v>
      </c>
      <c r="B6" s="3" t="s">
        <v>123</v>
      </c>
      <c r="C6" s="3" t="s">
        <v>124</v>
      </c>
      <c r="D6" s="3" t="s">
        <v>120</v>
      </c>
      <c r="E6" s="3" t="s">
        <v>81</v>
      </c>
      <c r="F6" s="3">
        <v>33</v>
      </c>
      <c r="G6" s="3">
        <v>150</v>
      </c>
      <c r="H6" s="8">
        <v>4896.1000000000004</v>
      </c>
      <c r="I6" s="8">
        <v>1220506</v>
      </c>
      <c r="J6" s="3" t="s">
        <v>82</v>
      </c>
      <c r="K6" s="1">
        <v>771208546569</v>
      </c>
      <c r="L6" s="3">
        <v>14</v>
      </c>
      <c r="M6" s="4"/>
    </row>
    <row r="7" spans="1:13" s="14" customFormat="1">
      <c r="A7" s="96" t="s">
        <v>153</v>
      </c>
      <c r="B7" s="3" t="s">
        <v>65</v>
      </c>
      <c r="C7" s="3" t="s">
        <v>154</v>
      </c>
      <c r="D7" s="3" t="s">
        <v>155</v>
      </c>
      <c r="E7" s="3" t="s">
        <v>19</v>
      </c>
      <c r="F7" s="3"/>
      <c r="G7" s="3">
        <v>80</v>
      </c>
      <c r="H7" s="8">
        <v>2400</v>
      </c>
      <c r="I7" s="8">
        <v>491451</v>
      </c>
      <c r="J7" s="99" t="s">
        <v>156</v>
      </c>
      <c r="K7" s="1">
        <v>801172850747</v>
      </c>
      <c r="L7" s="99">
        <v>15</v>
      </c>
      <c r="M7" s="4"/>
    </row>
    <row r="8" spans="1:13" s="14" customFormat="1">
      <c r="A8" s="98"/>
      <c r="B8" s="3" t="s">
        <v>63</v>
      </c>
      <c r="C8" s="3" t="s">
        <v>157</v>
      </c>
      <c r="D8" s="3" t="s">
        <v>158</v>
      </c>
      <c r="E8" s="3" t="s">
        <v>19</v>
      </c>
      <c r="F8" s="3"/>
      <c r="G8" s="3">
        <v>155</v>
      </c>
      <c r="H8" s="8">
        <v>4030</v>
      </c>
      <c r="I8" s="8">
        <v>781083</v>
      </c>
      <c r="J8" s="101"/>
      <c r="K8" s="1">
        <v>761209661842</v>
      </c>
      <c r="L8" s="101"/>
      <c r="M8" s="4"/>
    </row>
    <row r="9" spans="1:13" s="14" customFormat="1">
      <c r="A9" s="2" t="s">
        <v>125</v>
      </c>
      <c r="B9" s="3" t="s">
        <v>126</v>
      </c>
      <c r="C9" s="3" t="s">
        <v>127</v>
      </c>
      <c r="D9" s="3" t="s">
        <v>115</v>
      </c>
      <c r="E9" s="3" t="s">
        <v>18</v>
      </c>
      <c r="F9" s="3"/>
      <c r="G9" s="3">
        <v>255</v>
      </c>
      <c r="H9" s="8">
        <v>8671.7999999999993</v>
      </c>
      <c r="I9" s="8">
        <v>1914408.25</v>
      </c>
      <c r="J9" s="3" t="s">
        <v>128</v>
      </c>
      <c r="K9" s="1">
        <v>891179955026</v>
      </c>
      <c r="L9" s="3">
        <v>16</v>
      </c>
      <c r="M9" s="4"/>
    </row>
    <row r="10" spans="1:13">
      <c r="A10" s="2" t="s">
        <v>129</v>
      </c>
      <c r="B10" s="3" t="s">
        <v>130</v>
      </c>
      <c r="C10" s="3" t="s">
        <v>131</v>
      </c>
      <c r="D10" s="3" t="s">
        <v>115</v>
      </c>
      <c r="E10" s="3" t="s">
        <v>18</v>
      </c>
      <c r="F10" s="3">
        <v>36</v>
      </c>
      <c r="G10" s="3">
        <v>573</v>
      </c>
      <c r="H10" s="8">
        <v>19479.2</v>
      </c>
      <c r="I10" s="8">
        <v>3999411</v>
      </c>
      <c r="J10" s="3" t="s">
        <v>132</v>
      </c>
      <c r="K10" s="1">
        <v>811179554704</v>
      </c>
      <c r="L10" s="3">
        <v>17</v>
      </c>
      <c r="M10" s="4"/>
    </row>
    <row r="11" spans="1:13">
      <c r="A11" s="2" t="s">
        <v>129</v>
      </c>
      <c r="B11" s="3" t="s">
        <v>133</v>
      </c>
      <c r="C11" s="3" t="s">
        <v>134</v>
      </c>
      <c r="D11" s="3" t="s">
        <v>115</v>
      </c>
      <c r="E11" s="3" t="s">
        <v>81</v>
      </c>
      <c r="F11" s="3">
        <v>35</v>
      </c>
      <c r="G11" s="3">
        <v>160</v>
      </c>
      <c r="H11" s="8">
        <v>5593.4</v>
      </c>
      <c r="I11" s="8">
        <v>1259969</v>
      </c>
      <c r="J11" s="3" t="s">
        <v>82</v>
      </c>
      <c r="K11" s="1">
        <v>771212289395</v>
      </c>
      <c r="L11" s="3">
        <v>18</v>
      </c>
      <c r="M11" s="4"/>
    </row>
    <row r="12" spans="1:13">
      <c r="A12" s="2"/>
      <c r="B12" s="3"/>
      <c r="C12" s="3"/>
      <c r="D12" s="3"/>
      <c r="E12" s="3"/>
      <c r="F12" s="3"/>
      <c r="G12" s="3"/>
      <c r="H12" s="8"/>
      <c r="I12" s="8"/>
      <c r="J12" s="3"/>
      <c r="K12" s="1"/>
      <c r="L12" s="3"/>
      <c r="M12" s="4"/>
    </row>
    <row r="13" spans="1:13">
      <c r="A13" s="2"/>
      <c r="B13" s="3"/>
      <c r="C13" s="3"/>
      <c r="D13" s="3"/>
      <c r="E13" s="3"/>
      <c r="F13" s="3"/>
      <c r="G13" s="3"/>
      <c r="H13" s="8"/>
      <c r="I13" s="8"/>
      <c r="J13" s="3"/>
      <c r="K13" s="1"/>
      <c r="L13" s="3"/>
      <c r="M13" s="4"/>
    </row>
    <row r="14" spans="1:13">
      <c r="A14" s="2"/>
      <c r="B14" s="3"/>
      <c r="C14" s="3"/>
      <c r="D14" s="3"/>
      <c r="E14" s="3"/>
      <c r="F14" s="3"/>
      <c r="G14" s="3"/>
      <c r="H14" s="8"/>
      <c r="I14" s="8"/>
      <c r="J14" s="3"/>
      <c r="K14" s="1"/>
      <c r="L14" s="3"/>
      <c r="M14" s="4"/>
    </row>
    <row r="15" spans="1:13">
      <c r="A15" s="2"/>
      <c r="B15" s="3"/>
      <c r="C15" s="3"/>
      <c r="D15" s="3"/>
      <c r="E15" s="3"/>
      <c r="F15" s="3"/>
      <c r="G15" s="3"/>
      <c r="H15" s="8"/>
      <c r="I15" s="8"/>
      <c r="J15" s="3"/>
      <c r="K15" s="1"/>
      <c r="L15" s="3"/>
      <c r="M15" s="4"/>
    </row>
    <row r="16" spans="1:13">
      <c r="A16" s="2"/>
      <c r="B16" s="3"/>
      <c r="C16" s="3"/>
      <c r="D16" s="3"/>
      <c r="E16" s="3"/>
      <c r="F16" s="3"/>
      <c r="G16" s="3"/>
      <c r="H16" s="8"/>
      <c r="I16" s="8"/>
      <c r="J16" s="3"/>
      <c r="K16" s="1"/>
      <c r="L16" s="3"/>
      <c r="M16" s="4"/>
    </row>
    <row r="17" spans="1:13">
      <c r="A17" s="2"/>
      <c r="B17" s="3"/>
      <c r="C17" s="3"/>
      <c r="D17" s="3"/>
      <c r="E17" s="3"/>
      <c r="F17" s="3"/>
      <c r="G17" s="3"/>
      <c r="H17" s="8"/>
      <c r="I17" s="8"/>
      <c r="J17" s="3"/>
      <c r="K17" s="1"/>
      <c r="L17" s="3"/>
      <c r="M17" s="4"/>
    </row>
    <row r="18" spans="1:13">
      <c r="A18" s="2"/>
      <c r="B18" s="3"/>
      <c r="C18" s="3"/>
      <c r="D18" s="3"/>
      <c r="E18" s="3"/>
      <c r="F18" s="3"/>
      <c r="G18" s="3"/>
      <c r="H18" s="8"/>
      <c r="I18" s="8"/>
      <c r="J18" s="3"/>
      <c r="K18" s="1"/>
      <c r="L18" s="3"/>
      <c r="M18" s="4"/>
    </row>
    <row r="19" spans="1:13">
      <c r="A19" s="2"/>
      <c r="B19" s="3"/>
      <c r="C19" s="3"/>
      <c r="D19" s="3"/>
      <c r="E19" s="3"/>
      <c r="F19" s="3"/>
      <c r="G19" s="3"/>
      <c r="H19" s="8"/>
      <c r="I19" s="8"/>
      <c r="J19" s="3"/>
      <c r="K19" s="1"/>
      <c r="L19" s="3"/>
      <c r="M19" s="4"/>
    </row>
    <row r="20" spans="1:13">
      <c r="A20" s="2"/>
      <c r="B20" s="3"/>
      <c r="C20" s="3"/>
      <c r="D20" s="3"/>
      <c r="E20" s="3"/>
      <c r="F20" s="3"/>
      <c r="G20" s="3"/>
      <c r="H20" s="8"/>
      <c r="I20" s="8"/>
      <c r="J20" s="3"/>
      <c r="K20" s="1"/>
      <c r="L20" s="3"/>
      <c r="M20" s="4"/>
    </row>
    <row r="21" spans="1:13">
      <c r="A21" s="2"/>
      <c r="B21" s="3"/>
      <c r="C21" s="3"/>
      <c r="D21" s="3"/>
      <c r="E21" s="3"/>
      <c r="F21" s="3"/>
      <c r="G21" s="3"/>
      <c r="H21" s="8"/>
      <c r="I21" s="8"/>
      <c r="J21" s="3"/>
      <c r="K21" s="1"/>
      <c r="L21" s="3"/>
      <c r="M21" s="4"/>
    </row>
    <row r="22" spans="1:13">
      <c r="A22" s="2"/>
      <c r="B22" s="3"/>
      <c r="C22" s="3"/>
      <c r="D22" s="3"/>
      <c r="E22" s="3"/>
      <c r="F22" s="3"/>
      <c r="G22" s="3"/>
      <c r="H22" s="8"/>
      <c r="I22" s="8"/>
      <c r="J22" s="3"/>
      <c r="K22" s="1"/>
      <c r="L22" s="3"/>
      <c r="M22" s="4"/>
    </row>
    <row r="23" spans="1:13">
      <c r="A23" s="2"/>
      <c r="B23" s="3"/>
      <c r="C23" s="3"/>
      <c r="D23" s="3"/>
      <c r="E23" s="3"/>
      <c r="F23" s="3"/>
      <c r="G23" s="3"/>
      <c r="H23" s="8"/>
      <c r="I23" s="8"/>
      <c r="J23" s="3"/>
      <c r="K23" s="1"/>
      <c r="L23" s="3"/>
      <c r="M23" s="4"/>
    </row>
    <row r="24" spans="1:13">
      <c r="A24" s="2"/>
      <c r="B24" s="3"/>
      <c r="C24" s="3"/>
      <c r="D24" s="3"/>
      <c r="E24" s="3"/>
      <c r="F24" s="3"/>
      <c r="G24" s="3"/>
      <c r="H24" s="8"/>
      <c r="I24" s="8"/>
      <c r="J24" s="3"/>
      <c r="K24" s="1"/>
      <c r="L24" s="3"/>
      <c r="M24" s="4"/>
    </row>
    <row r="25" spans="1:13">
      <c r="A25" s="2"/>
      <c r="B25" s="3"/>
      <c r="C25" s="3"/>
      <c r="D25" s="3"/>
      <c r="E25" s="3"/>
      <c r="F25" s="3"/>
      <c r="G25" s="3"/>
      <c r="H25" s="8"/>
      <c r="I25" s="8"/>
      <c r="J25" s="3"/>
      <c r="K25" s="1"/>
      <c r="L25" s="3"/>
      <c r="M25" s="4"/>
    </row>
    <row r="26" spans="1:13">
      <c r="A26" s="2"/>
      <c r="B26" s="3"/>
      <c r="C26" s="3"/>
      <c r="D26" s="3"/>
      <c r="E26" s="3"/>
      <c r="F26" s="3"/>
      <c r="G26" s="3"/>
      <c r="H26" s="8"/>
      <c r="I26" s="8"/>
      <c r="J26" s="3"/>
      <c r="K26" s="1"/>
      <c r="L26" s="3"/>
      <c r="M26" s="4"/>
    </row>
    <row r="27" spans="1:13">
      <c r="A27" s="2"/>
      <c r="B27" s="3"/>
      <c r="C27" s="3"/>
      <c r="D27" s="3"/>
      <c r="E27" s="3"/>
      <c r="F27" s="3"/>
      <c r="G27" s="3"/>
      <c r="H27" s="8"/>
      <c r="I27" s="8"/>
      <c r="J27" s="3"/>
      <c r="K27" s="1"/>
      <c r="L27" s="3"/>
      <c r="M27" s="4"/>
    </row>
    <row r="28" spans="1:13">
      <c r="A28" s="2"/>
      <c r="B28" s="3"/>
      <c r="C28" s="3"/>
      <c r="D28" s="3"/>
      <c r="E28" s="3"/>
      <c r="F28" s="3"/>
      <c r="G28" s="3"/>
      <c r="H28" s="8"/>
      <c r="I28" s="8"/>
      <c r="J28" s="3"/>
      <c r="K28" s="1"/>
      <c r="L28" s="3"/>
      <c r="M28" s="4"/>
    </row>
    <row r="29" spans="1:13">
      <c r="A29" s="2"/>
      <c r="B29" s="3"/>
      <c r="C29" s="3"/>
      <c r="D29" s="3"/>
      <c r="E29" s="3"/>
      <c r="F29" s="3"/>
      <c r="G29" s="3"/>
      <c r="H29" s="8"/>
      <c r="I29" s="8"/>
      <c r="J29" s="3"/>
      <c r="K29" s="1"/>
      <c r="L29" s="3"/>
      <c r="M29" s="4"/>
    </row>
    <row r="30" spans="1:13">
      <c r="A30" s="2"/>
      <c r="B30" s="3"/>
      <c r="C30" s="3"/>
      <c r="D30" s="3"/>
      <c r="E30" s="3"/>
      <c r="F30" s="3"/>
      <c r="G30" s="3"/>
      <c r="H30" s="8"/>
      <c r="I30" s="8"/>
      <c r="J30" s="3"/>
      <c r="K30" s="1"/>
      <c r="L30" s="3"/>
      <c r="M30" s="4"/>
    </row>
    <row r="31" spans="1:13">
      <c r="A31" s="2"/>
      <c r="B31" s="3"/>
      <c r="C31" s="3"/>
      <c r="D31" s="3"/>
      <c r="E31" s="3"/>
      <c r="F31" s="3"/>
      <c r="G31" s="3"/>
      <c r="H31" s="8"/>
      <c r="I31" s="8"/>
      <c r="J31" s="3"/>
      <c r="K31" s="1"/>
      <c r="L31" s="3"/>
      <c r="M31" s="4"/>
    </row>
    <row r="32" spans="1:13">
      <c r="A32" s="2"/>
      <c r="B32" s="3"/>
      <c r="C32" s="3"/>
      <c r="D32" s="3"/>
      <c r="E32" s="3"/>
      <c r="F32" s="3"/>
      <c r="G32" s="3"/>
      <c r="H32" s="8"/>
      <c r="I32" s="8"/>
      <c r="J32" s="3"/>
      <c r="K32" s="1"/>
      <c r="L32" s="3"/>
      <c r="M32" s="4"/>
    </row>
    <row r="33" spans="1:13" ht="15.75" thickBot="1">
      <c r="A33" s="5"/>
      <c r="B33" s="6"/>
      <c r="C33" s="6"/>
      <c r="D33" s="6"/>
      <c r="E33" s="6"/>
      <c r="F33" s="6"/>
      <c r="G33" s="6"/>
      <c r="H33" s="9"/>
      <c r="I33" s="9"/>
      <c r="J33" s="6"/>
      <c r="K33" s="11"/>
      <c r="L33" s="6"/>
      <c r="M33" s="7"/>
    </row>
    <row r="34" spans="1:13" ht="15.75" thickBot="1">
      <c r="A34" s="24" t="s">
        <v>13</v>
      </c>
      <c r="B34" s="15"/>
      <c r="C34" s="15"/>
      <c r="D34" s="16"/>
      <c r="E34" s="17"/>
      <c r="F34" s="17"/>
      <c r="G34" s="75">
        <f>SUM(G4:G33)</f>
        <v>2088</v>
      </c>
      <c r="H34" s="22">
        <f>SUM(H4:H33)</f>
        <v>70034.2</v>
      </c>
      <c r="I34" s="22">
        <f>SUM(I4:I33)</f>
        <v>15264805.25</v>
      </c>
      <c r="J34" s="18"/>
      <c r="K34" s="18"/>
      <c r="L34" s="17"/>
      <c r="M34" s="19"/>
    </row>
    <row r="37" spans="1:13" ht="15" customHeight="1">
      <c r="H37" s="23"/>
    </row>
    <row r="38" spans="1:13" ht="15" customHeight="1">
      <c r="H38" s="23"/>
    </row>
  </sheetData>
  <mergeCells count="17">
    <mergeCell ref="A7:A8"/>
    <mergeCell ref="L7:L8"/>
    <mergeCell ref="J7:J8"/>
    <mergeCell ref="J2:J3"/>
    <mergeCell ref="K2:K3"/>
    <mergeCell ref="L2:L3"/>
    <mergeCell ref="M2:M3"/>
    <mergeCell ref="A1:M1"/>
    <mergeCell ref="A2:A3"/>
    <mergeCell ref="B2:B3"/>
    <mergeCell ref="C2:C3"/>
    <mergeCell ref="D2:D3"/>
    <mergeCell ref="E2:E3"/>
    <mergeCell ref="F2:F3"/>
    <mergeCell ref="G2:G3"/>
    <mergeCell ref="H2:H3"/>
    <mergeCell ref="I2:I3"/>
  </mergeCells>
  <pageMargins left="0.17" right="0.17" top="0.75" bottom="0.75" header="0.3" footer="0.3"/>
  <pageSetup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00B0F0"/>
  </sheetPr>
  <dimension ref="A1:M38"/>
  <sheetViews>
    <sheetView zoomScaleNormal="100" workbookViewId="0">
      <selection activeCell="N13" sqref="N13"/>
    </sheetView>
  </sheetViews>
  <sheetFormatPr defaultRowHeight="15"/>
  <cols>
    <col min="1" max="1" width="9.42578125" style="13" customWidth="1"/>
    <col min="2" max="2" width="9.7109375" style="13" customWidth="1"/>
    <col min="3" max="3" width="16.7109375" style="13" bestFit="1" customWidth="1"/>
    <col min="4" max="4" width="39.85546875" style="13" bestFit="1" customWidth="1"/>
    <col min="5" max="5" width="9.140625" style="13" customWidth="1"/>
    <col min="6" max="6" width="5.42578125" style="13" customWidth="1"/>
    <col min="7" max="7" width="5.140625" style="14" customWidth="1"/>
    <col min="8" max="8" width="10.140625" style="20" customWidth="1"/>
    <col min="9" max="9" width="11.5703125" style="20" bestFit="1" customWidth="1"/>
    <col min="10" max="11" width="13.140625" style="14" bestFit="1" customWidth="1"/>
    <col min="12" max="12" width="8.140625" style="13" customWidth="1"/>
    <col min="13" max="13" width="7.140625" style="13" customWidth="1"/>
    <col min="14" max="14" width="11" style="13" bestFit="1" customWidth="1"/>
    <col min="15" max="16384" width="9.140625" style="13"/>
  </cols>
  <sheetData>
    <row r="1" spans="1:13" ht="16.5" thickBot="1">
      <c r="A1" s="89" t="s">
        <v>152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</row>
    <row r="2" spans="1:13" ht="15" customHeight="1">
      <c r="A2" s="90" t="s">
        <v>6</v>
      </c>
      <c r="B2" s="92" t="s">
        <v>7</v>
      </c>
      <c r="C2" s="83" t="s">
        <v>8</v>
      </c>
      <c r="D2" s="83" t="s">
        <v>0</v>
      </c>
      <c r="E2" s="92" t="s">
        <v>9</v>
      </c>
      <c r="F2" s="92" t="s">
        <v>10</v>
      </c>
      <c r="G2" s="83" t="s">
        <v>1</v>
      </c>
      <c r="H2" s="94" t="s">
        <v>2</v>
      </c>
      <c r="I2" s="94" t="s">
        <v>3</v>
      </c>
      <c r="J2" s="83" t="s">
        <v>5</v>
      </c>
      <c r="K2" s="83" t="s">
        <v>4</v>
      </c>
      <c r="L2" s="85" t="s">
        <v>11</v>
      </c>
      <c r="M2" s="87" t="s">
        <v>12</v>
      </c>
    </row>
    <row r="3" spans="1:13" ht="15.75" thickBot="1">
      <c r="A3" s="91"/>
      <c r="B3" s="93"/>
      <c r="C3" s="84"/>
      <c r="D3" s="84"/>
      <c r="E3" s="93"/>
      <c r="F3" s="93"/>
      <c r="G3" s="84"/>
      <c r="H3" s="95"/>
      <c r="I3" s="95"/>
      <c r="J3" s="84"/>
      <c r="K3" s="84"/>
      <c r="L3" s="86"/>
      <c r="M3" s="88"/>
    </row>
    <row r="4" spans="1:13" s="14" customFormat="1" ht="13.5" customHeight="1">
      <c r="A4" s="2" t="s">
        <v>135</v>
      </c>
      <c r="B4" s="3" t="s">
        <v>136</v>
      </c>
      <c r="C4" s="3" t="s">
        <v>137</v>
      </c>
      <c r="D4" s="3" t="s">
        <v>115</v>
      </c>
      <c r="E4" s="3" t="s">
        <v>18</v>
      </c>
      <c r="F4" s="3">
        <v>37</v>
      </c>
      <c r="G4" s="3">
        <v>571</v>
      </c>
      <c r="H4" s="8">
        <v>19958.400000000001</v>
      </c>
      <c r="I4" s="8">
        <v>4332090</v>
      </c>
      <c r="J4" s="3" t="s">
        <v>138</v>
      </c>
      <c r="K4" s="1">
        <v>851180894550</v>
      </c>
      <c r="L4" s="3">
        <v>19</v>
      </c>
      <c r="M4" s="4"/>
    </row>
    <row r="5" spans="1:13">
      <c r="A5" s="2" t="s">
        <v>135</v>
      </c>
      <c r="B5" s="80" t="s">
        <v>169</v>
      </c>
      <c r="C5" s="3" t="s">
        <v>170</v>
      </c>
      <c r="D5" s="3" t="s">
        <v>120</v>
      </c>
      <c r="E5" s="3" t="s">
        <v>81</v>
      </c>
      <c r="F5" s="3">
        <v>37</v>
      </c>
      <c r="G5" s="3">
        <v>403</v>
      </c>
      <c r="H5" s="8">
        <v>14011.5</v>
      </c>
      <c r="I5" s="8">
        <v>3290229</v>
      </c>
      <c r="J5" s="3" t="s">
        <v>171</v>
      </c>
      <c r="K5" s="1">
        <v>751214000420</v>
      </c>
      <c r="L5" s="3">
        <v>20</v>
      </c>
      <c r="M5" s="4"/>
    </row>
    <row r="6" spans="1:13">
      <c r="A6" s="2" t="s">
        <v>139</v>
      </c>
      <c r="B6" s="3" t="s">
        <v>136</v>
      </c>
      <c r="C6" s="3" t="s">
        <v>140</v>
      </c>
      <c r="D6" s="3" t="s">
        <v>115</v>
      </c>
      <c r="E6" s="3" t="s">
        <v>18</v>
      </c>
      <c r="F6" s="3">
        <v>37</v>
      </c>
      <c r="G6" s="3">
        <v>355</v>
      </c>
      <c r="H6" s="8">
        <v>13102.4</v>
      </c>
      <c r="I6" s="8">
        <v>3081547</v>
      </c>
      <c r="J6" s="3" t="s">
        <v>141</v>
      </c>
      <c r="K6" s="1">
        <v>861180895639</v>
      </c>
      <c r="L6" s="3">
        <v>21</v>
      </c>
      <c r="M6" s="4"/>
    </row>
    <row r="7" spans="1:13" s="14" customFormat="1">
      <c r="A7" s="2" t="s">
        <v>142</v>
      </c>
      <c r="B7" s="3" t="s">
        <v>135</v>
      </c>
      <c r="C7" s="3" t="s">
        <v>143</v>
      </c>
      <c r="D7" s="3" t="s">
        <v>115</v>
      </c>
      <c r="E7" s="3" t="s">
        <v>18</v>
      </c>
      <c r="F7" s="3">
        <v>38</v>
      </c>
      <c r="G7" s="3">
        <v>549</v>
      </c>
      <c r="H7" s="8">
        <v>19639.2</v>
      </c>
      <c r="I7" s="8">
        <v>4516034</v>
      </c>
      <c r="J7" s="3" t="s">
        <v>144</v>
      </c>
      <c r="K7" s="1">
        <v>871182491933</v>
      </c>
      <c r="L7" s="3">
        <v>22</v>
      </c>
      <c r="M7" s="4"/>
    </row>
    <row r="8" spans="1:13" s="14" customFormat="1">
      <c r="A8" s="96" t="s">
        <v>145</v>
      </c>
      <c r="B8" s="3" t="s">
        <v>135</v>
      </c>
      <c r="C8" s="3" t="s">
        <v>146</v>
      </c>
      <c r="D8" s="3" t="s">
        <v>115</v>
      </c>
      <c r="E8" s="3" t="s">
        <v>18</v>
      </c>
      <c r="F8" s="3">
        <v>38</v>
      </c>
      <c r="G8" s="3">
        <v>545</v>
      </c>
      <c r="H8" s="8">
        <v>19762</v>
      </c>
      <c r="I8" s="8">
        <v>4516052</v>
      </c>
      <c r="J8" s="99" t="s">
        <v>147</v>
      </c>
      <c r="K8" s="1">
        <v>881182493028</v>
      </c>
      <c r="L8" s="99">
        <v>23</v>
      </c>
      <c r="M8" s="4"/>
    </row>
    <row r="9" spans="1:13" s="14" customFormat="1">
      <c r="A9" s="98"/>
      <c r="B9" s="3" t="s">
        <v>98</v>
      </c>
      <c r="C9" s="3" t="s">
        <v>162</v>
      </c>
      <c r="D9" s="3" t="s">
        <v>47</v>
      </c>
      <c r="E9" s="3" t="s">
        <v>161</v>
      </c>
      <c r="F9" s="3" t="s">
        <v>19</v>
      </c>
      <c r="G9" s="3">
        <v>66</v>
      </c>
      <c r="H9" s="8">
        <v>2310</v>
      </c>
      <c r="I9" s="8">
        <v>509972.4</v>
      </c>
      <c r="J9" s="101"/>
      <c r="K9" s="1">
        <v>811183220789</v>
      </c>
      <c r="L9" s="101"/>
      <c r="M9" s="4"/>
    </row>
    <row r="10" spans="1:13">
      <c r="A10" s="96" t="s">
        <v>163</v>
      </c>
      <c r="B10" s="99" t="s">
        <v>164</v>
      </c>
      <c r="C10" s="3" t="s">
        <v>165</v>
      </c>
      <c r="D10" s="99" t="s">
        <v>166</v>
      </c>
      <c r="E10" s="99" t="s">
        <v>81</v>
      </c>
      <c r="F10" s="99">
        <v>38</v>
      </c>
      <c r="G10" s="3">
        <v>473</v>
      </c>
      <c r="H10" s="8">
        <v>15896.1</v>
      </c>
      <c r="I10" s="8">
        <v>3584915</v>
      </c>
      <c r="J10" s="99" t="s">
        <v>168</v>
      </c>
      <c r="K10" s="1">
        <v>781216134247</v>
      </c>
      <c r="L10" s="99">
        <v>24</v>
      </c>
      <c r="M10" s="4"/>
    </row>
    <row r="11" spans="1:13">
      <c r="A11" s="98"/>
      <c r="B11" s="101"/>
      <c r="C11" s="3" t="s">
        <v>167</v>
      </c>
      <c r="D11" s="101"/>
      <c r="E11" s="101"/>
      <c r="F11" s="101"/>
      <c r="G11" s="3">
        <v>60</v>
      </c>
      <c r="H11" s="8">
        <v>1408</v>
      </c>
      <c r="I11" s="8">
        <v>293198</v>
      </c>
      <c r="J11" s="101"/>
      <c r="K11" s="1">
        <v>701216135316</v>
      </c>
      <c r="L11" s="101"/>
      <c r="M11" s="4"/>
    </row>
    <row r="12" spans="1:13">
      <c r="A12" s="2"/>
      <c r="B12" s="3"/>
      <c r="C12" s="3"/>
      <c r="D12" s="3"/>
      <c r="E12" s="3"/>
      <c r="F12" s="3"/>
      <c r="G12" s="3"/>
      <c r="H12" s="79"/>
      <c r="I12" s="8"/>
      <c r="J12" s="3"/>
      <c r="K12" s="1"/>
      <c r="L12" s="3"/>
      <c r="M12" s="4"/>
    </row>
    <row r="13" spans="1:13">
      <c r="A13" s="2"/>
      <c r="B13" s="3"/>
      <c r="C13" s="3"/>
      <c r="D13" s="3"/>
      <c r="E13" s="3"/>
      <c r="F13" s="3"/>
      <c r="G13" s="3"/>
      <c r="H13" s="8"/>
      <c r="I13" s="8"/>
      <c r="J13" s="3"/>
      <c r="K13" s="1"/>
      <c r="L13" s="3"/>
      <c r="M13" s="4"/>
    </row>
    <row r="14" spans="1:13">
      <c r="A14" s="2" t="s">
        <v>97</v>
      </c>
      <c r="B14" s="3" t="s">
        <v>98</v>
      </c>
      <c r="C14" s="3" t="s">
        <v>99</v>
      </c>
      <c r="D14" s="3" t="s">
        <v>80</v>
      </c>
      <c r="E14" s="3" t="s">
        <v>81</v>
      </c>
      <c r="F14" s="3">
        <v>40</v>
      </c>
      <c r="G14" s="3">
        <v>309</v>
      </c>
      <c r="H14" s="8">
        <v>6290.5</v>
      </c>
      <c r="I14" s="8">
        <v>1784397</v>
      </c>
      <c r="J14" s="3" t="s">
        <v>100</v>
      </c>
      <c r="K14" s="1">
        <v>721217189110</v>
      </c>
      <c r="L14" s="3">
        <v>25</v>
      </c>
      <c r="M14" s="4"/>
    </row>
    <row r="15" spans="1:13">
      <c r="A15" s="96" t="s">
        <v>101</v>
      </c>
      <c r="B15" s="3" t="s">
        <v>98</v>
      </c>
      <c r="C15" s="3" t="s">
        <v>105</v>
      </c>
      <c r="D15" s="3" t="s">
        <v>47</v>
      </c>
      <c r="E15" s="3" t="s">
        <v>18</v>
      </c>
      <c r="F15" s="3" t="s">
        <v>19</v>
      </c>
      <c r="G15" s="3">
        <v>90</v>
      </c>
      <c r="H15" s="8">
        <v>3150</v>
      </c>
      <c r="I15" s="8">
        <v>723901.5</v>
      </c>
      <c r="J15" s="99" t="s">
        <v>106</v>
      </c>
      <c r="K15" s="99">
        <v>7729654428</v>
      </c>
      <c r="L15" s="99">
        <v>26</v>
      </c>
      <c r="M15" s="4"/>
    </row>
    <row r="16" spans="1:13">
      <c r="A16" s="98"/>
      <c r="B16" s="3" t="s">
        <v>98</v>
      </c>
      <c r="C16" s="3" t="s">
        <v>107</v>
      </c>
      <c r="D16" s="3" t="s">
        <v>108</v>
      </c>
      <c r="E16" s="3" t="s">
        <v>109</v>
      </c>
      <c r="F16" s="3" t="s">
        <v>19</v>
      </c>
      <c r="G16" s="3">
        <v>80</v>
      </c>
      <c r="H16" s="8">
        <v>2400</v>
      </c>
      <c r="I16" s="8">
        <v>438972</v>
      </c>
      <c r="J16" s="101"/>
      <c r="K16" s="101"/>
      <c r="L16" s="101"/>
      <c r="M16" s="4"/>
    </row>
    <row r="17" spans="1:13">
      <c r="A17" s="2" t="s">
        <v>101</v>
      </c>
      <c r="B17" s="3" t="s">
        <v>102</v>
      </c>
      <c r="C17" s="3" t="s">
        <v>103</v>
      </c>
      <c r="D17" s="3" t="s">
        <v>30</v>
      </c>
      <c r="E17" s="3" t="s">
        <v>18</v>
      </c>
      <c r="F17" s="3">
        <v>39</v>
      </c>
      <c r="G17" s="3">
        <v>577</v>
      </c>
      <c r="H17" s="8">
        <v>20646.8</v>
      </c>
      <c r="I17" s="8">
        <v>4630231</v>
      </c>
      <c r="J17" s="3" t="s">
        <v>104</v>
      </c>
      <c r="K17" s="3">
        <v>861184440211</v>
      </c>
      <c r="L17" s="3">
        <v>27</v>
      </c>
      <c r="M17" s="4"/>
    </row>
    <row r="18" spans="1:13">
      <c r="A18" s="2" t="s">
        <v>148</v>
      </c>
      <c r="B18" s="3" t="s">
        <v>102</v>
      </c>
      <c r="C18" s="3" t="s">
        <v>149</v>
      </c>
      <c r="D18" s="3" t="s">
        <v>30</v>
      </c>
      <c r="E18" s="3" t="s">
        <v>18</v>
      </c>
      <c r="F18" s="3">
        <v>39</v>
      </c>
      <c r="G18" s="3">
        <v>590</v>
      </c>
      <c r="H18" s="8">
        <v>20685</v>
      </c>
      <c r="I18" s="8">
        <v>4573205</v>
      </c>
      <c r="J18" s="3" t="s">
        <v>150</v>
      </c>
      <c r="K18" s="1">
        <v>841184441221</v>
      </c>
      <c r="L18" s="3">
        <v>28</v>
      </c>
      <c r="M18" s="4"/>
    </row>
    <row r="19" spans="1:13">
      <c r="A19" s="2"/>
      <c r="B19" s="3"/>
      <c r="C19" s="3"/>
      <c r="D19" s="3"/>
      <c r="E19" s="3"/>
      <c r="F19" s="3"/>
      <c r="G19" s="3"/>
      <c r="H19" s="8"/>
      <c r="I19" s="8"/>
      <c r="J19" s="3"/>
      <c r="K19" s="1"/>
      <c r="L19" s="3"/>
      <c r="M19" s="4"/>
    </row>
    <row r="20" spans="1:13">
      <c r="A20" s="2"/>
      <c r="B20" s="3"/>
      <c r="C20" s="3"/>
      <c r="D20" s="3"/>
      <c r="E20" s="3"/>
      <c r="F20" s="3"/>
      <c r="G20" s="3"/>
      <c r="H20" s="79"/>
      <c r="I20" s="8"/>
      <c r="J20" s="3"/>
      <c r="K20" s="1"/>
      <c r="L20" s="3"/>
      <c r="M20" s="4"/>
    </row>
    <row r="21" spans="1:13">
      <c r="A21" s="2"/>
      <c r="B21" s="3"/>
      <c r="C21" s="3"/>
      <c r="D21" s="3"/>
      <c r="E21" s="3"/>
      <c r="F21" s="3"/>
      <c r="G21" s="3"/>
      <c r="H21" s="8"/>
      <c r="I21" s="8"/>
      <c r="J21" s="3"/>
      <c r="K21" s="1"/>
      <c r="L21" s="3"/>
      <c r="M21" s="4"/>
    </row>
    <row r="22" spans="1:13">
      <c r="A22" s="2"/>
      <c r="B22" s="3"/>
      <c r="C22" s="3"/>
      <c r="D22" s="3"/>
      <c r="E22" s="3"/>
      <c r="F22" s="3"/>
      <c r="G22" s="3"/>
      <c r="H22" s="8"/>
      <c r="I22" s="8"/>
      <c r="J22" s="3"/>
      <c r="K22" s="1"/>
      <c r="L22" s="3"/>
      <c r="M22" s="4"/>
    </row>
    <row r="23" spans="1:13">
      <c r="A23" s="2"/>
      <c r="B23" s="3"/>
      <c r="C23" s="3"/>
      <c r="D23" s="3"/>
      <c r="E23" s="3"/>
      <c r="F23" s="3"/>
      <c r="G23" s="3"/>
      <c r="H23" s="8"/>
      <c r="I23" s="8"/>
      <c r="J23" s="3"/>
      <c r="K23" s="1"/>
      <c r="L23" s="3"/>
      <c r="M23" s="4"/>
    </row>
    <row r="24" spans="1:13">
      <c r="A24" s="2"/>
      <c r="B24" s="3"/>
      <c r="C24" s="3"/>
      <c r="D24" s="3"/>
      <c r="E24" s="3"/>
      <c r="F24" s="3"/>
      <c r="G24" s="3"/>
      <c r="H24" s="8"/>
      <c r="I24" s="8"/>
      <c r="J24" s="3"/>
      <c r="K24" s="1"/>
      <c r="L24" s="3"/>
      <c r="M24" s="4"/>
    </row>
    <row r="25" spans="1:13">
      <c r="A25" s="2"/>
      <c r="B25" s="3"/>
      <c r="C25" s="3"/>
      <c r="D25" s="3"/>
      <c r="E25" s="3"/>
      <c r="F25" s="3"/>
      <c r="G25" s="3"/>
      <c r="H25" s="8"/>
      <c r="I25" s="8"/>
      <c r="J25" s="3"/>
      <c r="K25" s="1"/>
      <c r="L25" s="3"/>
      <c r="M25" s="4"/>
    </row>
    <row r="26" spans="1:13">
      <c r="A26" s="2"/>
      <c r="B26" s="3"/>
      <c r="C26" s="3"/>
      <c r="D26" s="3"/>
      <c r="E26" s="3"/>
      <c r="F26" s="3"/>
      <c r="G26" s="3"/>
      <c r="H26" s="8"/>
      <c r="I26" s="8"/>
      <c r="J26" s="3"/>
      <c r="K26" s="1"/>
      <c r="L26" s="3"/>
      <c r="M26" s="4"/>
    </row>
    <row r="27" spans="1:13">
      <c r="A27" s="2"/>
      <c r="B27" s="3"/>
      <c r="C27" s="3"/>
      <c r="D27" s="3"/>
      <c r="E27" s="3"/>
      <c r="F27" s="3"/>
      <c r="G27" s="3"/>
      <c r="H27" s="8"/>
      <c r="I27" s="8"/>
      <c r="J27" s="3"/>
      <c r="K27" s="1"/>
      <c r="L27" s="3"/>
      <c r="M27" s="4"/>
    </row>
    <row r="28" spans="1:13">
      <c r="A28" s="2"/>
      <c r="B28" s="3"/>
      <c r="C28" s="3"/>
      <c r="D28" s="3"/>
      <c r="E28" s="3"/>
      <c r="F28" s="3"/>
      <c r="G28" s="3"/>
      <c r="H28" s="8"/>
      <c r="I28" s="8"/>
      <c r="J28" s="3"/>
      <c r="K28" s="1"/>
      <c r="L28" s="3"/>
      <c r="M28" s="4"/>
    </row>
    <row r="29" spans="1:13">
      <c r="A29" s="2"/>
      <c r="B29" s="3"/>
      <c r="C29" s="3"/>
      <c r="D29" s="3"/>
      <c r="E29" s="3"/>
      <c r="F29" s="3"/>
      <c r="G29" s="3"/>
      <c r="H29" s="8"/>
      <c r="I29" s="8"/>
      <c r="J29" s="3"/>
      <c r="K29" s="1"/>
      <c r="L29" s="3"/>
      <c r="M29" s="4"/>
    </row>
    <row r="30" spans="1:13">
      <c r="A30" s="2"/>
      <c r="B30" s="3"/>
      <c r="C30" s="3"/>
      <c r="D30" s="3"/>
      <c r="E30" s="3"/>
      <c r="F30" s="3"/>
      <c r="G30" s="3"/>
      <c r="H30" s="8"/>
      <c r="I30" s="8"/>
      <c r="J30" s="3"/>
      <c r="K30" s="1"/>
      <c r="L30" s="3"/>
      <c r="M30" s="4"/>
    </row>
    <row r="31" spans="1:13">
      <c r="A31" s="2"/>
      <c r="B31" s="3"/>
      <c r="C31" s="3"/>
      <c r="D31" s="3"/>
      <c r="E31" s="3"/>
      <c r="F31" s="3"/>
      <c r="G31" s="3"/>
      <c r="H31" s="8"/>
      <c r="I31" s="8"/>
      <c r="J31" s="3"/>
      <c r="K31" s="1"/>
      <c r="L31" s="3"/>
      <c r="M31" s="4"/>
    </row>
    <row r="32" spans="1:13">
      <c r="A32" s="2"/>
      <c r="B32" s="3"/>
      <c r="C32" s="3"/>
      <c r="D32" s="3"/>
      <c r="E32" s="3"/>
      <c r="F32" s="3"/>
      <c r="G32" s="3"/>
      <c r="H32" s="8"/>
      <c r="I32" s="8"/>
      <c r="J32" s="3"/>
      <c r="K32" s="1"/>
      <c r="L32" s="3"/>
      <c r="M32" s="4"/>
    </row>
    <row r="33" spans="1:13" ht="15.75" thickBot="1">
      <c r="A33" s="5"/>
      <c r="B33" s="6"/>
      <c r="C33" s="6"/>
      <c r="D33" s="6"/>
      <c r="E33" s="6"/>
      <c r="F33" s="6"/>
      <c r="G33" s="6"/>
      <c r="H33" s="9"/>
      <c r="I33" s="9"/>
      <c r="J33" s="6"/>
      <c r="K33" s="11"/>
      <c r="L33" s="6"/>
      <c r="M33" s="7"/>
    </row>
    <row r="34" spans="1:13" ht="15.75" thickBot="1">
      <c r="A34" s="24" t="s">
        <v>13</v>
      </c>
      <c r="B34" s="15"/>
      <c r="C34" s="15"/>
      <c r="D34" s="16"/>
      <c r="E34" s="17"/>
      <c r="F34" s="17"/>
      <c r="G34" s="75">
        <f>SUM(G4:G33)</f>
        <v>4668</v>
      </c>
      <c r="H34" s="22">
        <f>SUM(H4:H33)</f>
        <v>159259.9</v>
      </c>
      <c r="I34" s="22">
        <f>SUM(I4:I33)</f>
        <v>36274743.899999999</v>
      </c>
      <c r="J34" s="18"/>
      <c r="K34" s="18"/>
      <c r="L34" s="17"/>
      <c r="M34" s="19"/>
    </row>
    <row r="37" spans="1:13" ht="15" customHeight="1">
      <c r="H37" s="23"/>
    </row>
    <row r="38" spans="1:13" ht="15" customHeight="1">
      <c r="H38" s="23"/>
    </row>
  </sheetData>
  <mergeCells count="28">
    <mergeCell ref="A8:A9"/>
    <mergeCell ref="J8:J9"/>
    <mergeCell ref="L8:L9"/>
    <mergeCell ref="L10:L11"/>
    <mergeCell ref="A15:A16"/>
    <mergeCell ref="J15:J16"/>
    <mergeCell ref="K15:K16"/>
    <mergeCell ref="L15:L16"/>
    <mergeCell ref="A10:A11"/>
    <mergeCell ref="B10:B11"/>
    <mergeCell ref="D10:D11"/>
    <mergeCell ref="E10:E11"/>
    <mergeCell ref="F10:F11"/>
    <mergeCell ref="J10:J11"/>
    <mergeCell ref="M2:M3"/>
    <mergeCell ref="A1:M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</mergeCells>
  <pageMargins left="0.17" right="0.17" top="0.75" bottom="0.75" header="0.3" footer="0.3"/>
  <pageSetup orientation="landscape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0070C0"/>
  </sheetPr>
  <dimension ref="A1:T38"/>
  <sheetViews>
    <sheetView zoomScaleNormal="100" workbookViewId="0">
      <selection activeCell="A2" sqref="A2:A3"/>
    </sheetView>
  </sheetViews>
  <sheetFormatPr defaultRowHeight="15"/>
  <cols>
    <col min="1" max="1" width="9.42578125" style="13" customWidth="1"/>
    <col min="2" max="2" width="9.7109375" style="13" customWidth="1"/>
    <col min="3" max="3" width="16.7109375" style="13" bestFit="1" customWidth="1"/>
    <col min="4" max="4" width="39.85546875" style="13" bestFit="1" customWidth="1"/>
    <col min="5" max="5" width="9.140625" style="13" customWidth="1"/>
    <col min="6" max="6" width="5.42578125" style="13" customWidth="1"/>
    <col min="7" max="7" width="5.140625" style="14" customWidth="1"/>
    <col min="8" max="8" width="10.140625" style="20" customWidth="1"/>
    <col min="9" max="9" width="11.5703125" style="20" bestFit="1" customWidth="1"/>
    <col min="10" max="11" width="13.140625" style="14" bestFit="1" customWidth="1"/>
    <col min="12" max="12" width="8.140625" style="13" customWidth="1"/>
    <col min="13" max="13" width="7.140625" style="13" customWidth="1"/>
    <col min="14" max="14" width="11" style="13" bestFit="1" customWidth="1"/>
    <col min="15" max="16384" width="9.140625" style="13"/>
  </cols>
  <sheetData>
    <row r="1" spans="1:20" ht="16.5" thickBot="1">
      <c r="A1" s="89" t="s">
        <v>241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</row>
    <row r="2" spans="1:20" ht="15" customHeight="1">
      <c r="A2" s="90" t="s">
        <v>6</v>
      </c>
      <c r="B2" s="92" t="s">
        <v>7</v>
      </c>
      <c r="C2" s="83" t="s">
        <v>8</v>
      </c>
      <c r="D2" s="83" t="s">
        <v>0</v>
      </c>
      <c r="E2" s="92" t="s">
        <v>9</v>
      </c>
      <c r="F2" s="92" t="s">
        <v>10</v>
      </c>
      <c r="G2" s="83" t="s">
        <v>1</v>
      </c>
      <c r="H2" s="94" t="s">
        <v>2</v>
      </c>
      <c r="I2" s="94" t="s">
        <v>3</v>
      </c>
      <c r="J2" s="83" t="s">
        <v>5</v>
      </c>
      <c r="K2" s="83" t="s">
        <v>4</v>
      </c>
      <c r="L2" s="85" t="s">
        <v>11</v>
      </c>
      <c r="M2" s="87" t="s">
        <v>12</v>
      </c>
    </row>
    <row r="3" spans="1:20" ht="15.75" thickBot="1">
      <c r="A3" s="91"/>
      <c r="B3" s="93"/>
      <c r="C3" s="84"/>
      <c r="D3" s="84"/>
      <c r="E3" s="93"/>
      <c r="F3" s="93"/>
      <c r="G3" s="84"/>
      <c r="H3" s="95"/>
      <c r="I3" s="95"/>
      <c r="J3" s="84"/>
      <c r="K3" s="84"/>
      <c r="L3" s="86"/>
      <c r="M3" s="88"/>
    </row>
    <row r="4" spans="1:20" s="14" customFormat="1" ht="13.5" customHeight="1">
      <c r="A4" s="2" t="s">
        <v>172</v>
      </c>
      <c r="B4" s="3" t="s">
        <v>173</v>
      </c>
      <c r="C4" s="3" t="s">
        <v>174</v>
      </c>
      <c r="D4" s="110" t="s">
        <v>166</v>
      </c>
      <c r="E4" s="110" t="s">
        <v>81</v>
      </c>
      <c r="F4" s="3">
        <v>40</v>
      </c>
      <c r="G4" s="3">
        <v>466</v>
      </c>
      <c r="H4" s="8">
        <v>16170.4</v>
      </c>
      <c r="I4" s="8">
        <v>3349430</v>
      </c>
      <c r="J4" s="3" t="s">
        <v>175</v>
      </c>
      <c r="K4" s="1">
        <v>701220014689</v>
      </c>
      <c r="L4" s="3">
        <v>29</v>
      </c>
      <c r="M4" s="4"/>
    </row>
    <row r="5" spans="1:20">
      <c r="A5" s="2" t="s">
        <v>176</v>
      </c>
      <c r="B5" s="3" t="s">
        <v>177</v>
      </c>
      <c r="C5" s="3" t="s">
        <v>178</v>
      </c>
      <c r="D5" s="100"/>
      <c r="E5" s="100"/>
      <c r="F5" s="3">
        <v>39</v>
      </c>
      <c r="G5" s="3">
        <v>200</v>
      </c>
      <c r="H5" s="8">
        <v>7209.3</v>
      </c>
      <c r="I5" s="8">
        <v>1430394</v>
      </c>
      <c r="J5" s="3" t="s">
        <v>179</v>
      </c>
      <c r="K5" s="1">
        <v>771220298789</v>
      </c>
      <c r="L5" s="3">
        <v>30</v>
      </c>
      <c r="M5" s="4" t="s">
        <v>236</v>
      </c>
    </row>
    <row r="6" spans="1:20">
      <c r="A6" s="2" t="s">
        <v>180</v>
      </c>
      <c r="B6" s="80" t="s">
        <v>173</v>
      </c>
      <c r="C6" s="3" t="s">
        <v>181</v>
      </c>
      <c r="D6" s="101"/>
      <c r="E6" s="101"/>
      <c r="F6" s="3">
        <v>40</v>
      </c>
      <c r="G6" s="3">
        <v>175</v>
      </c>
      <c r="H6" s="8">
        <v>5760.6</v>
      </c>
      <c r="I6" s="8">
        <v>1078592</v>
      </c>
      <c r="J6" s="3" t="s">
        <v>182</v>
      </c>
      <c r="K6" s="1">
        <v>751220615078</v>
      </c>
      <c r="L6" s="3">
        <v>31</v>
      </c>
      <c r="M6" s="4"/>
    </row>
    <row r="7" spans="1:20" s="14" customFormat="1">
      <c r="A7" s="96" t="s">
        <v>183</v>
      </c>
      <c r="B7" s="3" t="s">
        <v>176</v>
      </c>
      <c r="C7" s="3" t="s">
        <v>184</v>
      </c>
      <c r="D7" s="3" t="s">
        <v>115</v>
      </c>
      <c r="E7" s="99" t="s">
        <v>18</v>
      </c>
      <c r="F7" s="3">
        <v>42</v>
      </c>
      <c r="G7" s="3">
        <v>127</v>
      </c>
      <c r="H7" s="8">
        <v>4105</v>
      </c>
      <c r="I7" s="8">
        <v>758863</v>
      </c>
      <c r="J7" s="99" t="s">
        <v>106</v>
      </c>
      <c r="K7" s="108">
        <v>7129946385</v>
      </c>
      <c r="L7" s="99">
        <v>32</v>
      </c>
      <c r="M7" s="4"/>
    </row>
    <row r="8" spans="1:20" s="14" customFormat="1">
      <c r="A8" s="98"/>
      <c r="B8" s="3" t="s">
        <v>185</v>
      </c>
      <c r="C8" s="3" t="s">
        <v>186</v>
      </c>
      <c r="D8" s="3" t="s">
        <v>187</v>
      </c>
      <c r="E8" s="101"/>
      <c r="F8" s="3" t="s">
        <v>19</v>
      </c>
      <c r="G8" s="3">
        <v>250</v>
      </c>
      <c r="H8" s="8">
        <v>6500</v>
      </c>
      <c r="I8" s="8">
        <v>1287402.48</v>
      </c>
      <c r="J8" s="101"/>
      <c r="K8" s="109"/>
      <c r="L8" s="101"/>
      <c r="M8" s="4"/>
    </row>
    <row r="9" spans="1:20" s="14" customFormat="1">
      <c r="A9" s="96" t="s">
        <v>183</v>
      </c>
      <c r="B9" s="3" t="s">
        <v>102</v>
      </c>
      <c r="C9" s="3" t="s">
        <v>188</v>
      </c>
      <c r="D9" s="3" t="s">
        <v>155</v>
      </c>
      <c r="E9" s="99" t="s">
        <v>18</v>
      </c>
      <c r="F9" s="99" t="s">
        <v>19</v>
      </c>
      <c r="G9" s="3">
        <v>80</v>
      </c>
      <c r="H9" s="8">
        <v>2400</v>
      </c>
      <c r="I9" s="8">
        <v>448233</v>
      </c>
      <c r="J9" s="99" t="s">
        <v>194</v>
      </c>
      <c r="K9" s="108">
        <v>7629863162</v>
      </c>
      <c r="L9" s="99">
        <v>33</v>
      </c>
      <c r="M9" s="4"/>
      <c r="N9" s="81"/>
      <c r="O9" s="81" t="s">
        <v>201</v>
      </c>
      <c r="P9"/>
      <c r="Q9"/>
      <c r="R9"/>
      <c r="S9"/>
      <c r="T9"/>
    </row>
    <row r="10" spans="1:20">
      <c r="A10" s="97"/>
      <c r="B10" s="3" t="s">
        <v>189</v>
      </c>
      <c r="C10" s="3" t="s">
        <v>190</v>
      </c>
      <c r="D10" s="3" t="s">
        <v>47</v>
      </c>
      <c r="E10" s="100"/>
      <c r="F10" s="100"/>
      <c r="G10" s="3">
        <v>70</v>
      </c>
      <c r="H10" s="8">
        <v>2450</v>
      </c>
      <c r="I10" s="8">
        <v>520416.75</v>
      </c>
      <c r="J10" s="100"/>
      <c r="K10" s="111"/>
      <c r="L10" s="100"/>
      <c r="M10" s="4"/>
      <c r="N10" s="81"/>
      <c r="O10" s="81" t="s">
        <v>202</v>
      </c>
      <c r="P10"/>
      <c r="Q10"/>
      <c r="R10"/>
      <c r="S10"/>
      <c r="T10"/>
    </row>
    <row r="11" spans="1:20">
      <c r="A11" s="98"/>
      <c r="B11" s="3" t="s">
        <v>191</v>
      </c>
      <c r="C11" s="3" t="s">
        <v>192</v>
      </c>
      <c r="D11" s="3" t="s">
        <v>193</v>
      </c>
      <c r="E11" s="101"/>
      <c r="F11" s="101"/>
      <c r="G11" s="3">
        <v>160</v>
      </c>
      <c r="H11" s="8">
        <v>5600</v>
      </c>
      <c r="I11" s="8">
        <v>1333769</v>
      </c>
      <c r="J11" s="101"/>
      <c r="K11" s="109"/>
      <c r="L11" s="101"/>
      <c r="M11" s="4"/>
      <c r="N11" s="81"/>
      <c r="O11" s="81" t="s">
        <v>203</v>
      </c>
      <c r="P11"/>
      <c r="Q11"/>
      <c r="R11"/>
      <c r="S11"/>
      <c r="T11"/>
    </row>
    <row r="12" spans="1:20">
      <c r="A12" s="96" t="s">
        <v>195</v>
      </c>
      <c r="B12" s="3" t="s">
        <v>176</v>
      </c>
      <c r="C12" s="3" t="s">
        <v>196</v>
      </c>
      <c r="D12" s="3" t="s">
        <v>115</v>
      </c>
      <c r="E12" s="99" t="s">
        <v>18</v>
      </c>
      <c r="F12" s="3">
        <v>42</v>
      </c>
      <c r="G12" s="3">
        <v>614</v>
      </c>
      <c r="H12" s="8">
        <v>20071</v>
      </c>
      <c r="I12" s="8">
        <v>4011751</v>
      </c>
      <c r="J12" s="99" t="s">
        <v>197</v>
      </c>
      <c r="K12" s="108">
        <v>7529927270</v>
      </c>
      <c r="L12" s="99">
        <v>34</v>
      </c>
      <c r="M12" s="4"/>
      <c r="N12" s="81"/>
      <c r="O12" s="81" t="s">
        <v>204</v>
      </c>
      <c r="P12"/>
      <c r="Q12"/>
      <c r="R12"/>
      <c r="S12"/>
      <c r="T12"/>
    </row>
    <row r="13" spans="1:20">
      <c r="A13" s="98"/>
      <c r="B13" s="3" t="s">
        <v>198</v>
      </c>
      <c r="C13" s="3" t="s">
        <v>199</v>
      </c>
      <c r="D13" s="3" t="s">
        <v>200</v>
      </c>
      <c r="E13" s="101"/>
      <c r="F13" s="3" t="s">
        <v>19</v>
      </c>
      <c r="G13" s="3">
        <v>70</v>
      </c>
      <c r="H13" s="8">
        <v>2450</v>
      </c>
      <c r="I13" s="8">
        <v>44118.76</v>
      </c>
      <c r="J13" s="101"/>
      <c r="K13" s="109"/>
      <c r="L13" s="101"/>
      <c r="M13" s="4"/>
      <c r="N13" s="81"/>
      <c r="O13" s="81" t="s">
        <v>205</v>
      </c>
      <c r="P13"/>
      <c r="Q13"/>
      <c r="R13"/>
      <c r="S13"/>
      <c r="T13"/>
    </row>
    <row r="14" spans="1:20">
      <c r="A14" s="2" t="s">
        <v>208</v>
      </c>
      <c r="B14" s="3" t="s">
        <v>189</v>
      </c>
      <c r="C14" s="3" t="s">
        <v>209</v>
      </c>
      <c r="D14" s="99" t="s">
        <v>210</v>
      </c>
      <c r="E14" s="99" t="s">
        <v>81</v>
      </c>
      <c r="F14" s="99">
        <v>42</v>
      </c>
      <c r="G14" s="3">
        <v>361</v>
      </c>
      <c r="H14" s="8">
        <v>16111.6</v>
      </c>
      <c r="I14" s="8">
        <v>3318444</v>
      </c>
      <c r="J14" s="3" t="s">
        <v>211</v>
      </c>
      <c r="K14" s="1">
        <v>711221739106</v>
      </c>
      <c r="L14" s="3">
        <v>35</v>
      </c>
      <c r="M14" s="4"/>
      <c r="N14" s="81"/>
      <c r="O14" s="81" t="s">
        <v>206</v>
      </c>
      <c r="P14"/>
      <c r="Q14"/>
      <c r="R14"/>
      <c r="S14"/>
      <c r="T14"/>
    </row>
    <row r="15" spans="1:20">
      <c r="A15" s="2" t="s">
        <v>212</v>
      </c>
      <c r="B15" s="3" t="s">
        <v>189</v>
      </c>
      <c r="C15" s="3" t="s">
        <v>213</v>
      </c>
      <c r="D15" s="101"/>
      <c r="E15" s="101"/>
      <c r="F15" s="101"/>
      <c r="G15" s="3">
        <v>280</v>
      </c>
      <c r="H15" s="8">
        <v>9392.7000000000007</v>
      </c>
      <c r="I15" s="8">
        <v>2033016</v>
      </c>
      <c r="J15" s="3" t="s">
        <v>175</v>
      </c>
      <c r="K15" s="1">
        <v>791221701521</v>
      </c>
      <c r="L15" s="3">
        <v>36</v>
      </c>
      <c r="M15" s="4"/>
      <c r="N15" s="81"/>
      <c r="O15" s="81" t="s">
        <v>207</v>
      </c>
      <c r="P15"/>
      <c r="Q15"/>
      <c r="R15"/>
      <c r="S15"/>
      <c r="T15"/>
    </row>
    <row r="16" spans="1:20">
      <c r="A16" s="2" t="s">
        <v>214</v>
      </c>
      <c r="B16" s="3" t="s">
        <v>183</v>
      </c>
      <c r="C16" s="3" t="s">
        <v>215</v>
      </c>
      <c r="D16" s="99" t="s">
        <v>115</v>
      </c>
      <c r="E16" s="99" t="s">
        <v>18</v>
      </c>
      <c r="F16" s="99">
        <v>43</v>
      </c>
      <c r="G16" s="3">
        <v>504</v>
      </c>
      <c r="H16" s="8">
        <v>15748.6</v>
      </c>
      <c r="I16" s="8">
        <v>3260740</v>
      </c>
      <c r="J16" s="3" t="s">
        <v>171</v>
      </c>
      <c r="K16" s="1">
        <v>851188398153</v>
      </c>
      <c r="L16" s="3">
        <v>37</v>
      </c>
      <c r="M16" s="4"/>
    </row>
    <row r="17" spans="1:13">
      <c r="A17" s="2" t="s">
        <v>214</v>
      </c>
      <c r="B17" s="3" t="s">
        <v>183</v>
      </c>
      <c r="C17" s="3" t="s">
        <v>216</v>
      </c>
      <c r="D17" s="101"/>
      <c r="E17" s="101"/>
      <c r="F17" s="101"/>
      <c r="G17" s="3">
        <v>575</v>
      </c>
      <c r="H17" s="8">
        <v>20136.400000000001</v>
      </c>
      <c r="I17" s="8">
        <v>4291862</v>
      </c>
      <c r="J17" s="3" t="s">
        <v>168</v>
      </c>
      <c r="K17" s="1">
        <v>861188398862</v>
      </c>
      <c r="L17" s="3">
        <v>38</v>
      </c>
      <c r="M17" s="4"/>
    </row>
    <row r="18" spans="1:13">
      <c r="A18" s="96" t="s">
        <v>219</v>
      </c>
      <c r="B18" s="3" t="s">
        <v>183</v>
      </c>
      <c r="C18" s="3" t="s">
        <v>217</v>
      </c>
      <c r="D18" s="3" t="s">
        <v>187</v>
      </c>
      <c r="E18" s="3" t="s">
        <v>18</v>
      </c>
      <c r="F18" s="3" t="s">
        <v>19</v>
      </c>
      <c r="G18" s="3">
        <v>160</v>
      </c>
      <c r="H18" s="8">
        <v>4160</v>
      </c>
      <c r="I18" s="8">
        <v>864689.28</v>
      </c>
      <c r="J18" s="99" t="s">
        <v>218</v>
      </c>
      <c r="K18" s="108">
        <v>7730149616</v>
      </c>
      <c r="L18" s="99">
        <v>39</v>
      </c>
      <c r="M18" s="4"/>
    </row>
    <row r="19" spans="1:13">
      <c r="A19" s="98"/>
      <c r="B19" s="3" t="s">
        <v>208</v>
      </c>
      <c r="C19" s="3" t="s">
        <v>220</v>
      </c>
      <c r="D19" s="3" t="s">
        <v>115</v>
      </c>
      <c r="E19" s="3" t="s">
        <v>18</v>
      </c>
      <c r="F19" s="3">
        <v>44</v>
      </c>
      <c r="G19" s="3">
        <v>307</v>
      </c>
      <c r="H19" s="8">
        <v>10131.4</v>
      </c>
      <c r="I19" s="8">
        <v>2161955</v>
      </c>
      <c r="J19" s="101"/>
      <c r="K19" s="109"/>
      <c r="L19" s="101"/>
      <c r="M19" s="4"/>
    </row>
    <row r="20" spans="1:13">
      <c r="A20" s="96" t="s">
        <v>221</v>
      </c>
      <c r="B20" s="3" t="s">
        <v>208</v>
      </c>
      <c r="C20" s="3" t="s">
        <v>222</v>
      </c>
      <c r="D20" s="3" t="s">
        <v>115</v>
      </c>
      <c r="E20" s="3" t="s">
        <v>18</v>
      </c>
      <c r="F20" s="3">
        <v>44</v>
      </c>
      <c r="G20" s="3">
        <v>547</v>
      </c>
      <c r="H20" s="8">
        <v>19982.8</v>
      </c>
      <c r="I20" s="8">
        <v>5201477</v>
      </c>
      <c r="J20" s="99" t="s">
        <v>197</v>
      </c>
      <c r="K20" s="108">
        <v>7730162428</v>
      </c>
      <c r="L20" s="99">
        <v>40</v>
      </c>
      <c r="M20" s="4"/>
    </row>
    <row r="21" spans="1:13">
      <c r="A21" s="98"/>
      <c r="B21" s="3" t="s">
        <v>183</v>
      </c>
      <c r="C21" s="3" t="s">
        <v>223</v>
      </c>
      <c r="D21" s="3" t="s">
        <v>224</v>
      </c>
      <c r="E21" s="3" t="s">
        <v>18</v>
      </c>
      <c r="F21" s="3" t="s">
        <v>19</v>
      </c>
      <c r="G21" s="3">
        <v>121</v>
      </c>
      <c r="H21" s="8">
        <v>3551</v>
      </c>
      <c r="I21" s="8">
        <v>739393</v>
      </c>
      <c r="J21" s="101"/>
      <c r="K21" s="109"/>
      <c r="L21" s="101"/>
      <c r="M21" s="4"/>
    </row>
    <row r="22" spans="1:13">
      <c r="A22" s="2" t="s">
        <v>225</v>
      </c>
      <c r="B22" s="80" t="s">
        <v>229</v>
      </c>
      <c r="C22" s="3" t="s">
        <v>226</v>
      </c>
      <c r="D22" s="3" t="s">
        <v>210</v>
      </c>
      <c r="E22" s="3" t="s">
        <v>81</v>
      </c>
      <c r="F22" s="3">
        <v>43</v>
      </c>
      <c r="G22" s="3">
        <v>445</v>
      </c>
      <c r="H22" s="8">
        <v>15783.6</v>
      </c>
      <c r="I22" s="8">
        <v>3142107</v>
      </c>
      <c r="J22" s="3" t="s">
        <v>227</v>
      </c>
      <c r="K22" s="1">
        <v>791223509895</v>
      </c>
      <c r="L22" s="3">
        <v>41</v>
      </c>
      <c r="M22" s="4"/>
    </row>
    <row r="23" spans="1:13">
      <c r="A23" s="2" t="s">
        <v>228</v>
      </c>
      <c r="B23" s="3" t="s">
        <v>180</v>
      </c>
      <c r="C23" s="3" t="s">
        <v>230</v>
      </c>
      <c r="D23" s="3" t="s">
        <v>231</v>
      </c>
      <c r="E23" s="3" t="s">
        <v>94</v>
      </c>
      <c r="F23" s="3">
        <v>44</v>
      </c>
      <c r="G23" s="3">
        <v>150</v>
      </c>
      <c r="H23" s="8">
        <v>4794.2</v>
      </c>
      <c r="I23" s="8">
        <v>1305819</v>
      </c>
      <c r="J23" s="3" t="s">
        <v>232</v>
      </c>
      <c r="K23" s="1">
        <v>761224185228</v>
      </c>
      <c r="L23" s="3">
        <v>42</v>
      </c>
      <c r="M23" s="4"/>
    </row>
    <row r="24" spans="1:13">
      <c r="A24" s="2" t="s">
        <v>233</v>
      </c>
      <c r="B24" s="3" t="s">
        <v>234</v>
      </c>
      <c r="C24" s="3" t="s">
        <v>235</v>
      </c>
      <c r="D24" s="3" t="s">
        <v>210</v>
      </c>
      <c r="E24" s="3" t="s">
        <v>81</v>
      </c>
      <c r="F24" s="3">
        <v>44</v>
      </c>
      <c r="G24" s="3">
        <v>486</v>
      </c>
      <c r="H24" s="8">
        <v>16205.8</v>
      </c>
      <c r="I24" s="8">
        <v>3634871</v>
      </c>
      <c r="J24" s="3" t="s">
        <v>175</v>
      </c>
      <c r="K24" s="1">
        <v>741224247692</v>
      </c>
      <c r="L24" s="3">
        <v>43</v>
      </c>
      <c r="M24" s="4"/>
    </row>
    <row r="25" spans="1:13">
      <c r="A25" s="2" t="s">
        <v>237</v>
      </c>
      <c r="B25" s="3" t="s">
        <v>208</v>
      </c>
      <c r="C25" s="3" t="s">
        <v>238</v>
      </c>
      <c r="D25" s="3" t="s">
        <v>115</v>
      </c>
      <c r="E25" s="99" t="s">
        <v>18</v>
      </c>
      <c r="F25" s="3">
        <v>44</v>
      </c>
      <c r="G25" s="3">
        <v>602</v>
      </c>
      <c r="H25" s="8">
        <v>20192.2</v>
      </c>
      <c r="I25" s="8">
        <v>4722067</v>
      </c>
      <c r="J25" s="99" t="s">
        <v>121</v>
      </c>
      <c r="K25" s="108">
        <v>7130258419</v>
      </c>
      <c r="L25" s="99">
        <v>44</v>
      </c>
      <c r="M25" s="4"/>
    </row>
    <row r="26" spans="1:13">
      <c r="A26" s="2" t="s">
        <v>237</v>
      </c>
      <c r="B26" s="3" t="s">
        <v>239</v>
      </c>
      <c r="C26" s="3" t="s">
        <v>240</v>
      </c>
      <c r="D26" s="3" t="s">
        <v>47</v>
      </c>
      <c r="E26" s="101"/>
      <c r="F26" s="3" t="s">
        <v>19</v>
      </c>
      <c r="G26" s="3">
        <v>105</v>
      </c>
      <c r="H26" s="8">
        <v>3675</v>
      </c>
      <c r="I26" s="8">
        <v>883267.88</v>
      </c>
      <c r="J26" s="101"/>
      <c r="K26" s="109"/>
      <c r="L26" s="101"/>
      <c r="M26" s="4"/>
    </row>
    <row r="27" spans="1:13">
      <c r="A27" s="2"/>
      <c r="B27" s="3"/>
      <c r="C27" s="3"/>
      <c r="D27" s="3"/>
      <c r="E27" s="3"/>
      <c r="F27" s="3"/>
      <c r="G27" s="3"/>
      <c r="H27" s="8"/>
      <c r="I27" s="8"/>
      <c r="J27" s="3"/>
      <c r="K27" s="1"/>
      <c r="L27" s="3"/>
      <c r="M27" s="4"/>
    </row>
    <row r="28" spans="1:13">
      <c r="A28" s="2"/>
      <c r="B28" s="3"/>
      <c r="C28" s="3"/>
      <c r="D28" s="3"/>
      <c r="E28" s="3"/>
      <c r="F28" s="3"/>
      <c r="G28" s="3"/>
      <c r="H28" s="8"/>
      <c r="I28" s="8"/>
      <c r="J28" s="3"/>
      <c r="K28" s="1"/>
      <c r="L28" s="3"/>
      <c r="M28" s="4"/>
    </row>
    <row r="29" spans="1:13">
      <c r="A29" s="2"/>
      <c r="B29" s="3"/>
      <c r="C29" s="3"/>
      <c r="D29" s="3"/>
      <c r="E29" s="3"/>
      <c r="F29" s="3"/>
      <c r="G29" s="3"/>
      <c r="H29" s="8"/>
      <c r="I29" s="8"/>
      <c r="J29" s="3"/>
      <c r="K29" s="1"/>
      <c r="L29" s="3"/>
      <c r="M29" s="4"/>
    </row>
    <row r="30" spans="1:13">
      <c r="A30" s="2"/>
      <c r="B30" s="3"/>
      <c r="C30" s="3"/>
      <c r="D30" s="3"/>
      <c r="E30" s="3"/>
      <c r="F30" s="3"/>
      <c r="G30" s="3"/>
      <c r="H30" s="8"/>
      <c r="I30" s="8"/>
      <c r="J30" s="3"/>
      <c r="K30" s="1"/>
      <c r="L30" s="3"/>
      <c r="M30" s="4"/>
    </row>
    <row r="31" spans="1:13">
      <c r="A31" s="2"/>
      <c r="B31" s="3"/>
      <c r="C31" s="3"/>
      <c r="D31" s="3"/>
      <c r="E31" s="3"/>
      <c r="F31" s="3"/>
      <c r="G31" s="3"/>
      <c r="H31" s="8"/>
      <c r="I31" s="8"/>
      <c r="J31" s="3"/>
      <c r="K31" s="1"/>
      <c r="L31" s="3"/>
      <c r="M31" s="4"/>
    </row>
    <row r="32" spans="1:13">
      <c r="A32" s="2"/>
      <c r="B32" s="3"/>
      <c r="C32" s="3"/>
      <c r="D32" s="3"/>
      <c r="E32" s="3"/>
      <c r="F32" s="3"/>
      <c r="G32" s="3"/>
      <c r="H32" s="8"/>
      <c r="I32" s="8"/>
      <c r="J32" s="3"/>
      <c r="K32" s="1"/>
      <c r="L32" s="3"/>
      <c r="M32" s="4"/>
    </row>
    <row r="33" spans="1:13" ht="15.75" thickBot="1">
      <c r="A33" s="5"/>
      <c r="B33" s="6"/>
      <c r="C33" s="6"/>
      <c r="D33" s="6"/>
      <c r="E33" s="6"/>
      <c r="F33" s="6"/>
      <c r="G33" s="6"/>
      <c r="H33" s="9"/>
      <c r="I33" s="9"/>
      <c r="J33" s="6"/>
      <c r="K33" s="11"/>
      <c r="L33" s="6"/>
      <c r="M33" s="7"/>
    </row>
    <row r="34" spans="1:13" ht="15.75" thickBot="1">
      <c r="A34" s="24" t="s">
        <v>13</v>
      </c>
      <c r="B34" s="15"/>
      <c r="C34" s="15"/>
      <c r="D34" s="16"/>
      <c r="E34" s="17"/>
      <c r="F34" s="17"/>
      <c r="G34" s="75">
        <f>SUM(G4:G33)</f>
        <v>6855</v>
      </c>
      <c r="H34" s="22">
        <f>SUM(H4:H33)</f>
        <v>232581.6</v>
      </c>
      <c r="I34" s="22">
        <f>SUM(I4:I33)</f>
        <v>49822678.150000006</v>
      </c>
      <c r="J34" s="18"/>
      <c r="K34" s="18"/>
      <c r="L34" s="17"/>
      <c r="M34" s="19"/>
    </row>
    <row r="37" spans="1:13" ht="15" customHeight="1">
      <c r="H37" s="23"/>
    </row>
    <row r="38" spans="1:13" ht="15" customHeight="1">
      <c r="H38" s="23"/>
    </row>
  </sheetData>
  <mergeCells count="50">
    <mergeCell ref="E25:E26"/>
    <mergeCell ref="J25:J26"/>
    <mergeCell ref="K25:K26"/>
    <mergeCell ref="L25:L26"/>
    <mergeCell ref="D16:D17"/>
    <mergeCell ref="E16:E17"/>
    <mergeCell ref="F16:F17"/>
    <mergeCell ref="D14:D15"/>
    <mergeCell ref="E14:E15"/>
    <mergeCell ref="F14:F15"/>
    <mergeCell ref="A12:A13"/>
    <mergeCell ref="E12:E13"/>
    <mergeCell ref="J12:J13"/>
    <mergeCell ref="K12:K13"/>
    <mergeCell ref="L12:L13"/>
    <mergeCell ref="A9:A11"/>
    <mergeCell ref="K7:K8"/>
    <mergeCell ref="L7:L8"/>
    <mergeCell ref="J9:J11"/>
    <mergeCell ref="K9:K11"/>
    <mergeCell ref="L9:L11"/>
    <mergeCell ref="F9:F11"/>
    <mergeCell ref="E9:E11"/>
    <mergeCell ref="D4:D6"/>
    <mergeCell ref="E4:E6"/>
    <mergeCell ref="A7:A8"/>
    <mergeCell ref="E7:E8"/>
    <mergeCell ref="J7:J8"/>
    <mergeCell ref="M2:M3"/>
    <mergeCell ref="A1:M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A20:A21"/>
    <mergeCell ref="J20:J21"/>
    <mergeCell ref="K20:K21"/>
    <mergeCell ref="L20:L21"/>
    <mergeCell ref="L18:L19"/>
    <mergeCell ref="J18:J19"/>
    <mergeCell ref="K18:K19"/>
    <mergeCell ref="A18:A19"/>
  </mergeCells>
  <hyperlinks>
    <hyperlink ref="O9" r:id="rId1"/>
    <hyperlink ref="O11" r:id="rId2"/>
    <hyperlink ref="O10" r:id="rId3"/>
    <hyperlink ref="O12" r:id="rId4"/>
    <hyperlink ref="O13" r:id="rId5"/>
    <hyperlink ref="O14" r:id="rId6"/>
    <hyperlink ref="O15" r:id="rId7"/>
  </hyperlinks>
  <pageMargins left="0.17" right="0.17" top="0.75" bottom="0.75" header="0.3" footer="0.3"/>
  <pageSetup orientation="landscape" verticalDpi="0" r:id="rId8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0070C0"/>
  </sheetPr>
  <dimension ref="A1:T38"/>
  <sheetViews>
    <sheetView tabSelected="1" zoomScaleNormal="100" workbookViewId="0">
      <selection activeCell="L13" sqref="L13"/>
    </sheetView>
  </sheetViews>
  <sheetFormatPr defaultRowHeight="15"/>
  <cols>
    <col min="1" max="1" width="9.42578125" style="13" customWidth="1"/>
    <col min="2" max="2" width="9.7109375" style="13" customWidth="1"/>
    <col min="3" max="3" width="16.7109375" style="13" bestFit="1" customWidth="1"/>
    <col min="4" max="4" width="39.85546875" style="13" bestFit="1" customWidth="1"/>
    <col min="5" max="5" width="9.140625" style="13" customWidth="1"/>
    <col min="6" max="6" width="5.42578125" style="13" customWidth="1"/>
    <col min="7" max="7" width="5.140625" style="14" customWidth="1"/>
    <col min="8" max="8" width="10.140625" style="20" customWidth="1"/>
    <col min="9" max="9" width="11.5703125" style="20" bestFit="1" customWidth="1"/>
    <col min="10" max="11" width="13.140625" style="14" bestFit="1" customWidth="1"/>
    <col min="12" max="12" width="8.140625" style="13" customWidth="1"/>
    <col min="13" max="13" width="7.140625" style="13" customWidth="1"/>
    <col min="14" max="14" width="11" style="13" bestFit="1" customWidth="1"/>
    <col min="15" max="16384" width="9.140625" style="13"/>
  </cols>
  <sheetData>
    <row r="1" spans="1:20" ht="16.5" thickBot="1">
      <c r="A1" s="89" t="s">
        <v>242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</row>
    <row r="2" spans="1:20" ht="15" customHeight="1">
      <c r="A2" s="90" t="s">
        <v>6</v>
      </c>
      <c r="B2" s="92" t="s">
        <v>7</v>
      </c>
      <c r="C2" s="83" t="s">
        <v>8</v>
      </c>
      <c r="D2" s="83" t="s">
        <v>0</v>
      </c>
      <c r="E2" s="92" t="s">
        <v>9</v>
      </c>
      <c r="F2" s="92" t="s">
        <v>10</v>
      </c>
      <c r="G2" s="83" t="s">
        <v>1</v>
      </c>
      <c r="H2" s="94" t="s">
        <v>2</v>
      </c>
      <c r="I2" s="94" t="s">
        <v>3</v>
      </c>
      <c r="J2" s="83" t="s">
        <v>5</v>
      </c>
      <c r="K2" s="83" t="s">
        <v>4</v>
      </c>
      <c r="L2" s="85" t="s">
        <v>11</v>
      </c>
      <c r="M2" s="87" t="s">
        <v>12</v>
      </c>
    </row>
    <row r="3" spans="1:20" ht="15.75" thickBot="1">
      <c r="A3" s="91"/>
      <c r="B3" s="93"/>
      <c r="C3" s="84"/>
      <c r="D3" s="84"/>
      <c r="E3" s="93"/>
      <c r="F3" s="93"/>
      <c r="G3" s="84"/>
      <c r="H3" s="95"/>
      <c r="I3" s="95"/>
      <c r="J3" s="84"/>
      <c r="K3" s="84"/>
      <c r="L3" s="86"/>
      <c r="M3" s="88"/>
    </row>
    <row r="4" spans="1:20" s="14" customFormat="1" ht="13.5" customHeight="1">
      <c r="A4" s="2" t="s">
        <v>243</v>
      </c>
      <c r="B4" s="80" t="s">
        <v>244</v>
      </c>
      <c r="C4" s="3" t="s">
        <v>245</v>
      </c>
      <c r="D4" s="3" t="s">
        <v>115</v>
      </c>
      <c r="E4" s="3" t="s">
        <v>18</v>
      </c>
      <c r="F4" s="3">
        <v>45</v>
      </c>
      <c r="G4" s="3">
        <v>560</v>
      </c>
      <c r="H4" s="8">
        <v>19862.8</v>
      </c>
      <c r="I4" s="8">
        <v>4714694</v>
      </c>
      <c r="J4" s="3" t="s">
        <v>104</v>
      </c>
      <c r="K4" s="1">
        <v>871191426418</v>
      </c>
      <c r="L4" s="3">
        <v>45</v>
      </c>
      <c r="M4" s="4"/>
    </row>
    <row r="5" spans="1:20">
      <c r="A5" s="96" t="s">
        <v>243</v>
      </c>
      <c r="B5" s="80" t="s">
        <v>225</v>
      </c>
      <c r="C5" s="3" t="s">
        <v>251</v>
      </c>
      <c r="D5" s="99" t="s">
        <v>252</v>
      </c>
      <c r="E5" s="99" t="s">
        <v>94</v>
      </c>
      <c r="F5" s="3">
        <v>45</v>
      </c>
      <c r="G5" s="3">
        <v>180</v>
      </c>
      <c r="H5" s="8">
        <v>4707.3999999999996</v>
      </c>
      <c r="I5" s="8">
        <v>1328892</v>
      </c>
      <c r="J5" s="99" t="s">
        <v>253</v>
      </c>
      <c r="K5" s="1">
        <v>781225593806</v>
      </c>
      <c r="L5" s="99">
        <v>46</v>
      </c>
      <c r="M5" s="4"/>
    </row>
    <row r="6" spans="1:20">
      <c r="A6" s="98"/>
      <c r="B6" s="80" t="s">
        <v>249</v>
      </c>
      <c r="C6" s="3" t="s">
        <v>250</v>
      </c>
      <c r="D6" s="101"/>
      <c r="E6" s="101"/>
      <c r="F6" s="3">
        <v>46</v>
      </c>
      <c r="G6" s="3">
        <v>290</v>
      </c>
      <c r="H6" s="8">
        <v>8153.8</v>
      </c>
      <c r="I6" s="8">
        <v>2301661</v>
      </c>
      <c r="J6" s="101"/>
      <c r="K6" s="1">
        <v>701225593464</v>
      </c>
      <c r="L6" s="101"/>
      <c r="M6" s="4"/>
    </row>
    <row r="7" spans="1:20" s="14" customFormat="1">
      <c r="A7" s="2" t="s">
        <v>246</v>
      </c>
      <c r="B7" s="80" t="s">
        <v>234</v>
      </c>
      <c r="C7" s="3" t="s">
        <v>247</v>
      </c>
      <c r="D7" s="3" t="s">
        <v>210</v>
      </c>
      <c r="E7" s="3" t="s">
        <v>81</v>
      </c>
      <c r="F7" s="3">
        <v>44</v>
      </c>
      <c r="G7" s="3">
        <v>201</v>
      </c>
      <c r="H7" s="8">
        <v>6818.8</v>
      </c>
      <c r="I7" s="8">
        <v>1586180</v>
      </c>
      <c r="J7" s="3" t="s">
        <v>248</v>
      </c>
      <c r="K7" s="1">
        <v>741225070419</v>
      </c>
      <c r="L7" s="3">
        <v>47</v>
      </c>
      <c r="M7" s="4"/>
    </row>
    <row r="8" spans="1:20" s="14" customFormat="1">
      <c r="A8" s="2" t="s">
        <v>254</v>
      </c>
      <c r="B8" s="80" t="s">
        <v>244</v>
      </c>
      <c r="C8" s="3" t="s">
        <v>257</v>
      </c>
      <c r="D8" s="3" t="s">
        <v>115</v>
      </c>
      <c r="E8" s="3" t="s">
        <v>18</v>
      </c>
      <c r="F8" s="3">
        <v>45</v>
      </c>
      <c r="G8" s="3">
        <v>559</v>
      </c>
      <c r="H8" s="8">
        <v>20123.400000000001</v>
      </c>
      <c r="I8" s="8">
        <v>4886213</v>
      </c>
      <c r="J8" s="3" t="s">
        <v>258</v>
      </c>
      <c r="K8" s="1">
        <v>821191427193</v>
      </c>
      <c r="L8" s="3">
        <v>48</v>
      </c>
      <c r="M8" s="4"/>
    </row>
    <row r="9" spans="1:20" s="14" customFormat="1">
      <c r="A9" s="2" t="s">
        <v>254</v>
      </c>
      <c r="B9" s="80" t="s">
        <v>244</v>
      </c>
      <c r="C9" s="3" t="s">
        <v>255</v>
      </c>
      <c r="D9" s="3" t="s">
        <v>115</v>
      </c>
      <c r="E9" s="3" t="s">
        <v>18</v>
      </c>
      <c r="F9" s="3">
        <v>45</v>
      </c>
      <c r="G9" s="3">
        <v>535</v>
      </c>
      <c r="H9" s="8">
        <v>19194.400000000001</v>
      </c>
      <c r="I9" s="8">
        <v>4858957</v>
      </c>
      <c r="J9" s="3" t="s">
        <v>256</v>
      </c>
      <c r="K9" s="1">
        <v>811191427806</v>
      </c>
      <c r="L9" s="3">
        <v>49</v>
      </c>
      <c r="M9" s="4"/>
      <c r="N9" s="81"/>
      <c r="O9" s="81" t="s">
        <v>201</v>
      </c>
      <c r="P9"/>
      <c r="Q9"/>
      <c r="R9"/>
      <c r="S9"/>
      <c r="T9"/>
    </row>
    <row r="10" spans="1:20">
      <c r="A10" s="2" t="s">
        <v>259</v>
      </c>
      <c r="B10" s="80" t="s">
        <v>208</v>
      </c>
      <c r="C10" s="3" t="s">
        <v>260</v>
      </c>
      <c r="D10" s="99" t="s">
        <v>166</v>
      </c>
      <c r="E10" s="99" t="s">
        <v>81</v>
      </c>
      <c r="F10" s="99">
        <v>45</v>
      </c>
      <c r="G10" s="3">
        <v>422</v>
      </c>
      <c r="H10" s="8">
        <v>15996.4</v>
      </c>
      <c r="I10" s="8">
        <v>3450212</v>
      </c>
      <c r="J10" s="3" t="s">
        <v>261</v>
      </c>
      <c r="K10" s="1">
        <v>711226445547</v>
      </c>
      <c r="L10" s="3">
        <v>50</v>
      </c>
      <c r="M10" s="4"/>
      <c r="N10" s="81"/>
      <c r="O10" s="81" t="s">
        <v>202</v>
      </c>
      <c r="P10"/>
      <c r="Q10"/>
      <c r="R10"/>
      <c r="S10"/>
      <c r="T10"/>
    </row>
    <row r="11" spans="1:20">
      <c r="A11" s="2" t="s">
        <v>262</v>
      </c>
      <c r="B11" s="80" t="s">
        <v>208</v>
      </c>
      <c r="C11" s="3" t="s">
        <v>263</v>
      </c>
      <c r="D11" s="101"/>
      <c r="E11" s="101"/>
      <c r="F11" s="101"/>
      <c r="G11" s="3">
        <v>265</v>
      </c>
      <c r="H11" s="8">
        <v>8390.7000000000007</v>
      </c>
      <c r="I11" s="8">
        <v>1878657</v>
      </c>
      <c r="J11" s="3" t="s">
        <v>264</v>
      </c>
      <c r="K11" s="1">
        <v>701226596800</v>
      </c>
      <c r="L11" s="3">
        <v>51</v>
      </c>
      <c r="M11" s="4"/>
      <c r="N11" s="81"/>
      <c r="O11" s="81" t="s">
        <v>203</v>
      </c>
      <c r="P11"/>
      <c r="Q11"/>
      <c r="R11"/>
      <c r="S11"/>
      <c r="T11"/>
    </row>
    <row r="12" spans="1:20">
      <c r="A12" s="2" t="s">
        <v>262</v>
      </c>
      <c r="B12" s="80" t="s">
        <v>243</v>
      </c>
      <c r="C12" s="3" t="s">
        <v>265</v>
      </c>
      <c r="D12" s="3" t="s">
        <v>115</v>
      </c>
      <c r="E12" s="3" t="s">
        <v>18</v>
      </c>
      <c r="F12" s="3">
        <v>46</v>
      </c>
      <c r="G12" s="3">
        <v>546</v>
      </c>
      <c r="H12" s="8">
        <v>20028.2</v>
      </c>
      <c r="I12" s="8">
        <v>5229433</v>
      </c>
      <c r="J12" s="3" t="s">
        <v>266</v>
      </c>
      <c r="K12" s="1">
        <v>861192894286</v>
      </c>
      <c r="L12" s="3">
        <v>52</v>
      </c>
      <c r="M12" s="4"/>
      <c r="N12" s="81"/>
      <c r="O12" s="81" t="s">
        <v>204</v>
      </c>
      <c r="P12"/>
      <c r="Q12"/>
      <c r="R12"/>
      <c r="S12"/>
      <c r="T12"/>
    </row>
    <row r="13" spans="1:20">
      <c r="A13" s="2"/>
      <c r="B13" s="80"/>
      <c r="C13" s="3"/>
      <c r="D13" s="3"/>
      <c r="E13" s="3"/>
      <c r="F13" s="3"/>
      <c r="G13" s="3"/>
      <c r="H13" s="8"/>
      <c r="I13" s="8"/>
      <c r="J13" s="3"/>
      <c r="K13" s="1"/>
      <c r="L13" s="3"/>
      <c r="M13" s="4"/>
      <c r="N13" s="81"/>
      <c r="O13" s="81" t="s">
        <v>205</v>
      </c>
      <c r="P13"/>
      <c r="Q13"/>
      <c r="R13"/>
      <c r="S13"/>
      <c r="T13"/>
    </row>
    <row r="14" spans="1:20">
      <c r="A14" s="2"/>
      <c r="B14" s="80"/>
      <c r="C14" s="3"/>
      <c r="D14" s="3"/>
      <c r="E14" s="3"/>
      <c r="F14" s="3"/>
      <c r="G14" s="3"/>
      <c r="H14" s="8"/>
      <c r="I14" s="8"/>
      <c r="J14" s="3"/>
      <c r="K14" s="1"/>
      <c r="L14" s="3"/>
      <c r="M14" s="4"/>
      <c r="N14" s="81"/>
      <c r="O14" s="81" t="s">
        <v>206</v>
      </c>
      <c r="P14"/>
      <c r="Q14"/>
      <c r="R14"/>
      <c r="S14"/>
      <c r="T14"/>
    </row>
    <row r="15" spans="1:20">
      <c r="A15" s="2"/>
      <c r="B15" s="80"/>
      <c r="C15" s="3"/>
      <c r="D15" s="3"/>
      <c r="E15" s="3"/>
      <c r="F15" s="3"/>
      <c r="G15" s="3"/>
      <c r="H15" s="8"/>
      <c r="I15" s="8"/>
      <c r="J15" s="3"/>
      <c r="K15" s="1"/>
      <c r="L15" s="3"/>
      <c r="M15" s="4"/>
      <c r="N15" s="81"/>
      <c r="O15" s="81" t="s">
        <v>207</v>
      </c>
      <c r="P15"/>
      <c r="Q15"/>
      <c r="R15"/>
      <c r="S15"/>
      <c r="T15"/>
    </row>
    <row r="16" spans="1:20">
      <c r="A16" s="2"/>
      <c r="B16" s="80"/>
      <c r="C16" s="3"/>
      <c r="D16" s="3"/>
      <c r="E16" s="3"/>
      <c r="F16" s="3"/>
      <c r="G16" s="3"/>
      <c r="H16" s="8"/>
      <c r="I16" s="8"/>
      <c r="J16" s="3"/>
      <c r="K16" s="1"/>
      <c r="L16" s="3"/>
      <c r="M16" s="4"/>
    </row>
    <row r="17" spans="1:13">
      <c r="A17" s="2"/>
      <c r="B17" s="80"/>
      <c r="C17" s="3"/>
      <c r="D17" s="3"/>
      <c r="E17" s="3"/>
      <c r="F17" s="3"/>
      <c r="G17" s="3"/>
      <c r="H17" s="8"/>
      <c r="I17" s="8"/>
      <c r="J17" s="3"/>
      <c r="K17" s="1"/>
      <c r="L17" s="3"/>
      <c r="M17" s="4"/>
    </row>
    <row r="18" spans="1:13">
      <c r="A18" s="2"/>
      <c r="B18" s="80"/>
      <c r="C18" s="3"/>
      <c r="D18" s="3"/>
      <c r="E18" s="3"/>
      <c r="F18" s="3"/>
      <c r="G18" s="3"/>
      <c r="H18" s="8"/>
      <c r="I18" s="8"/>
      <c r="J18" s="3"/>
      <c r="K18" s="1"/>
      <c r="L18" s="3"/>
      <c r="M18" s="4"/>
    </row>
    <row r="19" spans="1:13">
      <c r="A19" s="2"/>
      <c r="B19" s="80"/>
      <c r="C19" s="3"/>
      <c r="D19" s="3"/>
      <c r="E19" s="3"/>
      <c r="F19" s="3"/>
      <c r="G19" s="3"/>
      <c r="H19" s="8"/>
      <c r="I19" s="8"/>
      <c r="J19" s="3"/>
      <c r="K19" s="1"/>
      <c r="L19" s="3"/>
      <c r="M19" s="4"/>
    </row>
    <row r="20" spans="1:13">
      <c r="A20" s="2"/>
      <c r="B20" s="80"/>
      <c r="C20" s="3"/>
      <c r="D20" s="3"/>
      <c r="E20" s="3"/>
      <c r="F20" s="3"/>
      <c r="G20" s="3"/>
      <c r="H20" s="8"/>
      <c r="I20" s="8"/>
      <c r="J20" s="3"/>
      <c r="K20" s="1"/>
      <c r="L20" s="3"/>
      <c r="M20" s="4"/>
    </row>
    <row r="21" spans="1:13">
      <c r="A21" s="2"/>
      <c r="B21" s="80"/>
      <c r="C21" s="3"/>
      <c r="D21" s="3"/>
      <c r="E21" s="3"/>
      <c r="F21" s="3"/>
      <c r="G21" s="3"/>
      <c r="H21" s="8"/>
      <c r="I21" s="8"/>
      <c r="J21" s="3"/>
      <c r="K21" s="1"/>
      <c r="L21" s="3"/>
      <c r="M21" s="4"/>
    </row>
    <row r="22" spans="1:13">
      <c r="A22" s="2"/>
      <c r="B22" s="80"/>
      <c r="C22" s="3"/>
      <c r="D22" s="3"/>
      <c r="E22" s="3"/>
      <c r="F22" s="3"/>
      <c r="G22" s="3"/>
      <c r="H22" s="8"/>
      <c r="I22" s="8"/>
      <c r="J22" s="3"/>
      <c r="K22" s="1"/>
      <c r="L22" s="3"/>
      <c r="M22" s="4"/>
    </row>
    <row r="23" spans="1:13">
      <c r="A23" s="2"/>
      <c r="B23" s="80"/>
      <c r="C23" s="3"/>
      <c r="D23" s="3"/>
      <c r="E23" s="3"/>
      <c r="F23" s="3"/>
      <c r="G23" s="3"/>
      <c r="H23" s="8"/>
      <c r="I23" s="8"/>
      <c r="J23" s="3"/>
      <c r="K23" s="1"/>
      <c r="L23" s="3"/>
      <c r="M23" s="4"/>
    </row>
    <row r="24" spans="1:13">
      <c r="A24" s="2"/>
      <c r="B24" s="80"/>
      <c r="C24" s="3"/>
      <c r="D24" s="3"/>
      <c r="E24" s="3"/>
      <c r="F24" s="3"/>
      <c r="G24" s="3"/>
      <c r="H24" s="8"/>
      <c r="I24" s="8"/>
      <c r="J24" s="3"/>
      <c r="K24" s="1"/>
      <c r="L24" s="3"/>
      <c r="M24" s="4"/>
    </row>
    <row r="25" spans="1:13">
      <c r="A25" s="2"/>
      <c r="B25" s="80"/>
      <c r="C25" s="3"/>
      <c r="D25" s="3"/>
      <c r="E25" s="3"/>
      <c r="F25" s="3"/>
      <c r="G25" s="3"/>
      <c r="H25" s="8"/>
      <c r="I25" s="8"/>
      <c r="J25" s="3"/>
      <c r="K25" s="1"/>
      <c r="L25" s="3"/>
      <c r="M25" s="4"/>
    </row>
    <row r="26" spans="1:13">
      <c r="A26" s="2"/>
      <c r="B26" s="80"/>
      <c r="C26" s="3"/>
      <c r="D26" s="3"/>
      <c r="E26" s="3"/>
      <c r="F26" s="3"/>
      <c r="G26" s="3"/>
      <c r="H26" s="8"/>
      <c r="I26" s="8"/>
      <c r="J26" s="3"/>
      <c r="K26" s="1"/>
      <c r="L26" s="3"/>
      <c r="M26" s="4"/>
    </row>
    <row r="27" spans="1:13">
      <c r="A27" s="2"/>
      <c r="B27" s="80"/>
      <c r="C27" s="3"/>
      <c r="D27" s="3"/>
      <c r="E27" s="3"/>
      <c r="F27" s="3"/>
      <c r="G27" s="3"/>
      <c r="H27" s="8"/>
      <c r="I27" s="8"/>
      <c r="J27" s="3"/>
      <c r="K27" s="1"/>
      <c r="L27" s="3"/>
      <c r="M27" s="4"/>
    </row>
    <row r="28" spans="1:13">
      <c r="A28" s="2"/>
      <c r="B28" s="80"/>
      <c r="C28" s="3"/>
      <c r="D28" s="3"/>
      <c r="E28" s="3"/>
      <c r="F28" s="3"/>
      <c r="G28" s="3"/>
      <c r="H28" s="8"/>
      <c r="I28" s="8"/>
      <c r="J28" s="3"/>
      <c r="K28" s="1"/>
      <c r="L28" s="3"/>
      <c r="M28" s="4"/>
    </row>
    <row r="29" spans="1:13">
      <c r="A29" s="2"/>
      <c r="B29" s="3"/>
      <c r="C29" s="3"/>
      <c r="D29" s="3"/>
      <c r="E29" s="3"/>
      <c r="F29" s="3"/>
      <c r="G29" s="3"/>
      <c r="H29" s="8"/>
      <c r="I29" s="8"/>
      <c r="J29" s="3"/>
      <c r="K29" s="1"/>
      <c r="L29" s="3"/>
      <c r="M29" s="4"/>
    </row>
    <row r="30" spans="1:13">
      <c r="A30" s="2"/>
      <c r="B30" s="3"/>
      <c r="C30" s="3"/>
      <c r="D30" s="3"/>
      <c r="E30" s="3"/>
      <c r="F30" s="3"/>
      <c r="G30" s="3"/>
      <c r="H30" s="8"/>
      <c r="I30" s="8"/>
      <c r="J30" s="3"/>
      <c r="K30" s="1"/>
      <c r="L30" s="3"/>
      <c r="M30" s="4"/>
    </row>
    <row r="31" spans="1:13">
      <c r="A31" s="2"/>
      <c r="B31" s="3"/>
      <c r="C31" s="3"/>
      <c r="D31" s="3"/>
      <c r="E31" s="3"/>
      <c r="F31" s="3"/>
      <c r="G31" s="3"/>
      <c r="H31" s="8"/>
      <c r="I31" s="8"/>
      <c r="J31" s="3"/>
      <c r="K31" s="1"/>
      <c r="L31" s="3"/>
      <c r="M31" s="4"/>
    </row>
    <row r="32" spans="1:13">
      <c r="A32" s="2"/>
      <c r="B32" s="3"/>
      <c r="C32" s="3"/>
      <c r="D32" s="3"/>
      <c r="E32" s="3"/>
      <c r="F32" s="3"/>
      <c r="G32" s="3"/>
      <c r="H32" s="8"/>
      <c r="I32" s="8"/>
      <c r="J32" s="3"/>
      <c r="K32" s="1"/>
      <c r="L32" s="3"/>
      <c r="M32" s="4"/>
    </row>
    <row r="33" spans="1:13" ht="15.75" thickBot="1">
      <c r="A33" s="5"/>
      <c r="B33" s="6"/>
      <c r="C33" s="6"/>
      <c r="D33" s="6"/>
      <c r="E33" s="6"/>
      <c r="F33" s="6"/>
      <c r="G33" s="6"/>
      <c r="H33" s="9"/>
      <c r="I33" s="9"/>
      <c r="J33" s="6"/>
      <c r="K33" s="11"/>
      <c r="L33" s="6"/>
      <c r="M33" s="7"/>
    </row>
    <row r="34" spans="1:13" ht="15.75" thickBot="1">
      <c r="A34" s="24" t="s">
        <v>13</v>
      </c>
      <c r="B34" s="15"/>
      <c r="C34" s="15"/>
      <c r="D34" s="16"/>
      <c r="E34" s="17"/>
      <c r="F34" s="17"/>
      <c r="G34" s="82">
        <f>SUM(G4:G33)</f>
        <v>3558</v>
      </c>
      <c r="H34" s="22">
        <f>SUM(H4:H33)</f>
        <v>123275.9</v>
      </c>
      <c r="I34" s="22">
        <f>SUM(I4:I33)</f>
        <v>30234899</v>
      </c>
      <c r="J34" s="18"/>
      <c r="K34" s="18"/>
      <c r="L34" s="17"/>
      <c r="M34" s="19"/>
    </row>
    <row r="37" spans="1:13" ht="15" customHeight="1">
      <c r="H37" s="23"/>
    </row>
    <row r="38" spans="1:13" ht="15" customHeight="1">
      <c r="H38" s="23"/>
    </row>
  </sheetData>
  <mergeCells count="22">
    <mergeCell ref="D10:D11"/>
    <mergeCell ref="E10:E11"/>
    <mergeCell ref="F10:F11"/>
    <mergeCell ref="A5:A6"/>
    <mergeCell ref="D5:D6"/>
    <mergeCell ref="E5:E6"/>
    <mergeCell ref="J5:J6"/>
    <mergeCell ref="L5:L6"/>
    <mergeCell ref="J2:J3"/>
    <mergeCell ref="K2:K3"/>
    <mergeCell ref="L2:L3"/>
    <mergeCell ref="M2:M3"/>
    <mergeCell ref="A1:M1"/>
    <mergeCell ref="A2:A3"/>
    <mergeCell ref="B2:B3"/>
    <mergeCell ref="C2:C3"/>
    <mergeCell ref="D2:D3"/>
    <mergeCell ref="E2:E3"/>
    <mergeCell ref="F2:F3"/>
    <mergeCell ref="G2:G3"/>
    <mergeCell ref="H2:H3"/>
    <mergeCell ref="I2:I3"/>
  </mergeCells>
  <hyperlinks>
    <hyperlink ref="O9" r:id="rId1"/>
    <hyperlink ref="O11" r:id="rId2"/>
    <hyperlink ref="O10" r:id="rId3"/>
    <hyperlink ref="O12" r:id="rId4"/>
    <hyperlink ref="O13" r:id="rId5"/>
    <hyperlink ref="O14" r:id="rId6"/>
    <hyperlink ref="O15" r:id="rId7"/>
  </hyperlinks>
  <pageMargins left="0.17" right="0.17" top="0.75" bottom="0.75" header="0.3" footer="0.3"/>
  <pageSetup orientation="landscape" verticalDpi="0" r:id="rId8"/>
</worksheet>
</file>

<file path=xl/worksheets/sheet10.xml><?xml version="1.0" encoding="utf-8"?>
<worksheet xmlns="http://schemas.openxmlformats.org/spreadsheetml/2006/main" xmlns:r="http://schemas.openxmlformats.org/officeDocument/2006/relationships">
  <dimension ref="A1:E41"/>
  <sheetViews>
    <sheetView workbookViewId="0">
      <selection activeCell="A2" sqref="A2"/>
    </sheetView>
  </sheetViews>
  <sheetFormatPr defaultRowHeight="15"/>
  <cols>
    <col min="1" max="1" width="13.85546875" style="29" customWidth="1"/>
    <col min="2" max="2" width="8.140625" style="28" bestFit="1" customWidth="1"/>
    <col min="3" max="3" width="11.28515625" style="28" bestFit="1" customWidth="1"/>
    <col min="4" max="4" width="7.85546875" style="28" bestFit="1" customWidth="1"/>
    <col min="5" max="5" width="14.42578125" style="30" bestFit="1" customWidth="1"/>
  </cols>
  <sheetData>
    <row r="1" spans="1:5" ht="21.75" thickBot="1">
      <c r="A1" s="117" t="s">
        <v>96</v>
      </c>
      <c r="B1" s="117"/>
      <c r="C1" s="117"/>
      <c r="D1" s="117"/>
      <c r="E1" s="117"/>
    </row>
    <row r="2" spans="1:5" s="51" customFormat="1" ht="38.25" thickBot="1">
      <c r="A2" s="49" t="s">
        <v>87</v>
      </c>
      <c r="B2" s="47" t="s">
        <v>88</v>
      </c>
      <c r="C2" s="48" t="s">
        <v>89</v>
      </c>
      <c r="D2" s="47" t="s">
        <v>90</v>
      </c>
      <c r="E2" s="50" t="s">
        <v>2</v>
      </c>
    </row>
    <row r="3" spans="1:5">
      <c r="A3" s="33" t="s">
        <v>28</v>
      </c>
      <c r="B3" s="118" t="s">
        <v>18</v>
      </c>
      <c r="C3" s="118">
        <v>29</v>
      </c>
      <c r="D3" s="62">
        <v>431</v>
      </c>
      <c r="E3" s="70">
        <v>14922.8</v>
      </c>
    </row>
    <row r="4" spans="1:5" ht="15.75" thickBot="1">
      <c r="A4" s="34" t="s">
        <v>33</v>
      </c>
      <c r="B4" s="118"/>
      <c r="C4" s="118"/>
      <c r="D4" s="63">
        <v>405</v>
      </c>
      <c r="E4" s="71">
        <v>13715</v>
      </c>
    </row>
    <row r="5" spans="1:5" ht="16.5" thickBot="1">
      <c r="A5" s="31" t="s">
        <v>91</v>
      </c>
      <c r="B5" s="54"/>
      <c r="C5" s="55"/>
      <c r="D5" s="46">
        <f>D3+D4</f>
        <v>836</v>
      </c>
      <c r="E5" s="45">
        <f>E3+E4</f>
        <v>28637.8</v>
      </c>
    </row>
    <row r="6" spans="1:5">
      <c r="A6" s="33" t="s">
        <v>58</v>
      </c>
      <c r="B6" s="118" t="s">
        <v>18</v>
      </c>
      <c r="C6" s="118">
        <v>30</v>
      </c>
      <c r="D6" s="62">
        <v>500</v>
      </c>
      <c r="E6" s="70">
        <v>17900.599999999999</v>
      </c>
    </row>
    <row r="7" spans="1:5" ht="15.75" thickBot="1">
      <c r="A7" s="34" t="s">
        <v>63</v>
      </c>
      <c r="B7" s="118"/>
      <c r="C7" s="118"/>
      <c r="D7" s="63">
        <v>200</v>
      </c>
      <c r="E7" s="71">
        <v>7039</v>
      </c>
    </row>
    <row r="8" spans="1:5" ht="16.5" thickBot="1">
      <c r="A8" s="31" t="s">
        <v>91</v>
      </c>
      <c r="B8" s="54"/>
      <c r="C8" s="55"/>
      <c r="D8" s="46">
        <f>D6+D7</f>
        <v>700</v>
      </c>
      <c r="E8" s="45">
        <f>E6+E7</f>
        <v>24939.599999999999</v>
      </c>
    </row>
    <row r="9" spans="1:5">
      <c r="A9" s="33" t="s">
        <v>71</v>
      </c>
      <c r="B9" s="118" t="s">
        <v>18</v>
      </c>
      <c r="C9" s="118">
        <v>31</v>
      </c>
      <c r="D9" s="62">
        <v>530</v>
      </c>
      <c r="E9" s="70">
        <v>18313</v>
      </c>
    </row>
    <row r="10" spans="1:5" ht="15.75" thickBot="1">
      <c r="A10" s="34" t="s">
        <v>76</v>
      </c>
      <c r="B10" s="118"/>
      <c r="C10" s="118"/>
      <c r="D10" s="63">
        <v>300</v>
      </c>
      <c r="E10" s="71">
        <v>10855.2</v>
      </c>
    </row>
    <row r="11" spans="1:5" ht="16.5" thickBot="1">
      <c r="A11" s="31" t="s">
        <v>91</v>
      </c>
      <c r="B11" s="54"/>
      <c r="C11" s="55"/>
      <c r="D11" s="46">
        <f>D9+D10</f>
        <v>830</v>
      </c>
      <c r="E11" s="45">
        <f>E9+E10</f>
        <v>29168.2</v>
      </c>
    </row>
    <row r="12" spans="1:5" ht="15.75" thickBot="1">
      <c r="A12" s="35" t="s">
        <v>92</v>
      </c>
      <c r="B12" s="32" t="s">
        <v>18</v>
      </c>
      <c r="C12" s="32">
        <v>48</v>
      </c>
      <c r="D12" s="32">
        <v>110</v>
      </c>
      <c r="E12" s="36">
        <v>4017</v>
      </c>
    </row>
    <row r="13" spans="1:5" ht="16.5" thickBot="1">
      <c r="A13" s="31" t="s">
        <v>91</v>
      </c>
      <c r="B13" s="54"/>
      <c r="C13" s="55"/>
      <c r="D13" s="46">
        <f>D12</f>
        <v>110</v>
      </c>
      <c r="E13" s="45">
        <f>E12</f>
        <v>4017</v>
      </c>
    </row>
    <row r="14" spans="1:5" ht="15.75" thickBot="1">
      <c r="A14" s="35" t="s">
        <v>92</v>
      </c>
      <c r="B14" s="32" t="s">
        <v>18</v>
      </c>
      <c r="C14" s="32">
        <v>49</v>
      </c>
      <c r="D14" s="32">
        <v>955</v>
      </c>
      <c r="E14" s="36">
        <v>33472.199999999997</v>
      </c>
    </row>
    <row r="15" spans="1:5" ht="16.5" thickBot="1">
      <c r="A15" s="40" t="s">
        <v>91</v>
      </c>
      <c r="B15" s="56"/>
      <c r="C15" s="57"/>
      <c r="D15" s="46">
        <f>D14</f>
        <v>955</v>
      </c>
      <c r="E15" s="52">
        <f>E14</f>
        <v>33472.199999999997</v>
      </c>
    </row>
    <row r="16" spans="1:5">
      <c r="A16" s="119" t="s">
        <v>14</v>
      </c>
      <c r="B16" s="114" t="s">
        <v>18</v>
      </c>
      <c r="C16" s="114" t="s">
        <v>19</v>
      </c>
      <c r="D16" s="64">
        <v>100</v>
      </c>
      <c r="E16" s="42">
        <v>3800</v>
      </c>
    </row>
    <row r="17" spans="1:5">
      <c r="A17" s="112"/>
      <c r="B17" s="115"/>
      <c r="C17" s="115"/>
      <c r="D17" s="65">
        <v>60</v>
      </c>
      <c r="E17" s="43">
        <v>2280</v>
      </c>
    </row>
    <row r="18" spans="1:5">
      <c r="A18" s="112"/>
      <c r="B18" s="115"/>
      <c r="C18" s="115"/>
      <c r="D18" s="65">
        <v>140</v>
      </c>
      <c r="E18" s="43">
        <v>5320</v>
      </c>
    </row>
    <row r="19" spans="1:5">
      <c r="A19" s="112" t="s">
        <v>33</v>
      </c>
      <c r="B19" s="115"/>
      <c r="C19" s="115"/>
      <c r="D19" s="66">
        <v>80</v>
      </c>
      <c r="E19" s="43">
        <v>3040</v>
      </c>
    </row>
    <row r="20" spans="1:5">
      <c r="A20" s="112"/>
      <c r="B20" s="115"/>
      <c r="C20" s="115"/>
      <c r="D20" s="66">
        <v>60</v>
      </c>
      <c r="E20" s="43">
        <v>1560</v>
      </c>
    </row>
    <row r="21" spans="1:5">
      <c r="A21" s="112"/>
      <c r="B21" s="115"/>
      <c r="C21" s="115"/>
      <c r="D21" s="66">
        <v>61</v>
      </c>
      <c r="E21" s="43">
        <v>2135</v>
      </c>
    </row>
    <row r="22" spans="1:5">
      <c r="A22" s="112" t="s">
        <v>45</v>
      </c>
      <c r="B22" s="115"/>
      <c r="C22" s="115"/>
      <c r="D22" s="67">
        <v>140</v>
      </c>
      <c r="E22" s="43">
        <v>3780</v>
      </c>
    </row>
    <row r="23" spans="1:5">
      <c r="A23" s="112"/>
      <c r="B23" s="115"/>
      <c r="C23" s="115"/>
      <c r="D23" s="67">
        <v>80</v>
      </c>
      <c r="E23" s="43">
        <v>2400</v>
      </c>
    </row>
    <row r="24" spans="1:5">
      <c r="A24" s="112"/>
      <c r="B24" s="115"/>
      <c r="C24" s="115"/>
      <c r="D24" s="67">
        <v>55</v>
      </c>
      <c r="E24" s="43">
        <v>1650</v>
      </c>
    </row>
    <row r="25" spans="1:5">
      <c r="A25" s="112"/>
      <c r="B25" s="115"/>
      <c r="C25" s="115"/>
      <c r="D25" s="67">
        <v>56</v>
      </c>
      <c r="E25" s="43">
        <v>1456</v>
      </c>
    </row>
    <row r="26" spans="1:5">
      <c r="A26" s="112"/>
      <c r="B26" s="115"/>
      <c r="C26" s="115"/>
      <c r="D26" s="67">
        <v>255</v>
      </c>
      <c r="E26" s="43">
        <v>6855</v>
      </c>
    </row>
    <row r="27" spans="1:5">
      <c r="A27" s="112" t="s">
        <v>63</v>
      </c>
      <c r="B27" s="115"/>
      <c r="C27" s="115"/>
      <c r="D27" s="66">
        <v>30</v>
      </c>
      <c r="E27" s="43">
        <v>1140</v>
      </c>
    </row>
    <row r="28" spans="1:5" ht="15.75" thickBot="1">
      <c r="A28" s="113"/>
      <c r="B28" s="116"/>
      <c r="C28" s="116"/>
      <c r="D28" s="68">
        <v>180</v>
      </c>
      <c r="E28" s="44">
        <v>6840</v>
      </c>
    </row>
    <row r="29" spans="1:5" ht="16.5" thickBot="1">
      <c r="A29" s="41" t="s">
        <v>91</v>
      </c>
      <c r="B29" s="58"/>
      <c r="C29" s="59"/>
      <c r="D29" s="46">
        <f>SUM(D16:D28)</f>
        <v>1297</v>
      </c>
      <c r="E29" s="53">
        <f>SUM(E16:E28)</f>
        <v>42256</v>
      </c>
    </row>
    <row r="30" spans="1:5" ht="15.75" thickBot="1">
      <c r="A30" s="37" t="s">
        <v>77</v>
      </c>
      <c r="B30" s="60" t="s">
        <v>81</v>
      </c>
      <c r="C30" s="60">
        <v>30</v>
      </c>
      <c r="D30" s="60">
        <v>111</v>
      </c>
      <c r="E30" s="72">
        <v>4844.7</v>
      </c>
    </row>
    <row r="31" spans="1:5" ht="16.5" thickBot="1">
      <c r="A31" s="31" t="s">
        <v>91</v>
      </c>
      <c r="B31" s="54"/>
      <c r="C31" s="55"/>
      <c r="D31" s="46">
        <f>D30</f>
        <v>111</v>
      </c>
      <c r="E31" s="45">
        <f>E30</f>
        <v>4844.7</v>
      </c>
    </row>
    <row r="32" spans="1:5" ht="15.75" thickBot="1">
      <c r="A32" s="35" t="s">
        <v>92</v>
      </c>
      <c r="B32" s="60" t="s">
        <v>81</v>
      </c>
      <c r="C32" s="60">
        <v>36</v>
      </c>
      <c r="D32" s="69">
        <v>20</v>
      </c>
      <c r="E32" s="73">
        <v>397.5</v>
      </c>
    </row>
    <row r="33" spans="1:5" ht="16.5" thickBot="1">
      <c r="A33" s="31" t="s">
        <v>91</v>
      </c>
      <c r="B33" s="54"/>
      <c r="C33" s="55"/>
      <c r="D33" s="46">
        <f>D32</f>
        <v>20</v>
      </c>
      <c r="E33" s="45">
        <f>E32</f>
        <v>397.5</v>
      </c>
    </row>
    <row r="34" spans="1:5" ht="15.75" thickBot="1">
      <c r="A34" s="35" t="s">
        <v>92</v>
      </c>
      <c r="B34" s="60" t="s">
        <v>81</v>
      </c>
      <c r="C34" s="60">
        <v>41</v>
      </c>
      <c r="D34" s="32">
        <v>40</v>
      </c>
      <c r="E34" s="36">
        <v>909.4</v>
      </c>
    </row>
    <row r="35" spans="1:5" ht="16.5" thickBot="1">
      <c r="A35" s="31" t="s">
        <v>91</v>
      </c>
      <c r="B35" s="54"/>
      <c r="C35" s="61"/>
      <c r="D35" s="46">
        <f>D34</f>
        <v>40</v>
      </c>
      <c r="E35" s="45">
        <f>E34</f>
        <v>909.4</v>
      </c>
    </row>
    <row r="36" spans="1:5" ht="15.75" thickBot="1">
      <c r="A36" s="35" t="s">
        <v>92</v>
      </c>
      <c r="B36" s="60" t="s">
        <v>81</v>
      </c>
      <c r="C36" s="60">
        <v>50</v>
      </c>
      <c r="D36" s="32">
        <v>40</v>
      </c>
      <c r="E36" s="36">
        <v>1224</v>
      </c>
    </row>
    <row r="37" spans="1:5" ht="16.5" thickBot="1">
      <c r="A37" s="31" t="s">
        <v>91</v>
      </c>
      <c r="B37" s="54"/>
      <c r="C37" s="55"/>
      <c r="D37" s="46">
        <f>D36</f>
        <v>40</v>
      </c>
      <c r="E37" s="45">
        <f>E36</f>
        <v>1224</v>
      </c>
    </row>
    <row r="38" spans="1:5" ht="15.75" thickBot="1">
      <c r="A38" s="35" t="s">
        <v>92</v>
      </c>
      <c r="B38" s="60" t="s">
        <v>94</v>
      </c>
      <c r="C38" s="60" t="s">
        <v>19</v>
      </c>
      <c r="D38" s="32" t="s">
        <v>95</v>
      </c>
      <c r="E38" s="36">
        <v>120</v>
      </c>
    </row>
    <row r="39" spans="1:5" ht="16.5" thickBot="1">
      <c r="A39" s="31" t="s">
        <v>91</v>
      </c>
      <c r="B39" s="54"/>
      <c r="C39" s="55"/>
      <c r="D39" s="46" t="str">
        <f>D38</f>
        <v>05</v>
      </c>
      <c r="E39" s="45">
        <f>E38</f>
        <v>120</v>
      </c>
    </row>
    <row r="41" spans="1:5" ht="18.75">
      <c r="A41" s="38" t="s">
        <v>93</v>
      </c>
      <c r="D41" s="38">
        <f>D5+D8+D11+D13+D15+D29+D31+D33+D35+D37+D39</f>
        <v>4944</v>
      </c>
      <c r="E41" s="39">
        <f>E5+E8+E11+E13+E15+E29+E31+E33+E35+E37+E39</f>
        <v>169986.4</v>
      </c>
    </row>
  </sheetData>
  <mergeCells count="13">
    <mergeCell ref="A27:A28"/>
    <mergeCell ref="C16:C28"/>
    <mergeCell ref="B16:B28"/>
    <mergeCell ref="A1:E1"/>
    <mergeCell ref="A19:A21"/>
    <mergeCell ref="A22:A26"/>
    <mergeCell ref="B9:B10"/>
    <mergeCell ref="C9:C10"/>
    <mergeCell ref="B6:B7"/>
    <mergeCell ref="C6:C7"/>
    <mergeCell ref="B3:B4"/>
    <mergeCell ref="C3:C4"/>
    <mergeCell ref="A16:A18"/>
  </mergeCell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APRIL 21-22</vt:lpstr>
      <vt:lpstr>MAY 21-22 (2)</vt:lpstr>
      <vt:lpstr>JUNE 21-22 (2)</vt:lpstr>
      <vt:lpstr>JULY 21-22</vt:lpstr>
      <vt:lpstr>AUGUST 21-22</vt:lpstr>
      <vt:lpstr>SEPTEMBER 21-22</vt:lpstr>
      <vt:lpstr>OCTOBER 21-22 </vt:lpstr>
      <vt:lpstr>NOVEMBER 21-22</vt:lpstr>
      <vt:lpstr>DECEMBER 21-22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2021-08-31T09:36:02Z</cp:lastPrinted>
  <dcterms:created xsi:type="dcterms:W3CDTF">2017-08-10T10:30:31Z</dcterms:created>
  <dcterms:modified xsi:type="dcterms:W3CDTF">2021-12-08T06:49:28Z</dcterms:modified>
</cp:coreProperties>
</file>