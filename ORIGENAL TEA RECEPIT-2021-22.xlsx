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255" windowHeight="7935" activeTab="1"/>
  </bookViews>
  <sheets>
    <sheet name="April 21-22" sheetId="38" r:id="rId1"/>
    <sheet name="Sheet1" sheetId="39" r:id="rId2"/>
  </sheets>
  <definedNames>
    <definedName name="_xlnm._FilterDatabase" localSheetId="0" hidden="1">'April 21-22'!$A$3:$M$23</definedName>
    <definedName name="_xlnm._FilterDatabase" localSheetId="1" hidden="1">Sheet1!$A$2:$E$37</definedName>
  </definedNames>
  <calcPr calcId="125725"/>
</workbook>
</file>

<file path=xl/calcChain.xml><?xml version="1.0" encoding="utf-8"?>
<calcChain xmlns="http://schemas.openxmlformats.org/spreadsheetml/2006/main">
  <c r="E39" i="39"/>
  <c r="D39"/>
  <c r="E15" l="1"/>
  <c r="D15"/>
  <c r="D13"/>
  <c r="E13"/>
  <c r="E37"/>
  <c r="D37"/>
  <c r="E35"/>
  <c r="D35"/>
  <c r="E33"/>
  <c r="D33"/>
  <c r="E31" l="1"/>
  <c r="D31"/>
  <c r="E29"/>
  <c r="D29"/>
  <c r="E11"/>
  <c r="D11"/>
  <c r="E8"/>
  <c r="D8"/>
  <c r="E5"/>
  <c r="D5"/>
  <c r="I34" i="38"/>
  <c r="H34"/>
  <c r="G34"/>
  <c r="E41" i="39" l="1"/>
  <c r="D41"/>
</calcChain>
</file>

<file path=xl/sharedStrings.xml><?xml version="1.0" encoding="utf-8"?>
<sst xmlns="http://schemas.openxmlformats.org/spreadsheetml/2006/main" count="175" uniqueCount="97">
  <si>
    <t xml:space="preserve">NAME OF THE PARTEY </t>
  </si>
  <si>
    <t>BAGS</t>
  </si>
  <si>
    <t>QUANTITY</t>
  </si>
  <si>
    <t>AMOUNT</t>
  </si>
  <si>
    <t>FORM 38 NO.</t>
  </si>
  <si>
    <t>TRUCK NO.</t>
  </si>
  <si>
    <t>DATE OF ARRIVAL</t>
  </si>
  <si>
    <t>INVIOVE DATE</t>
  </si>
  <si>
    <t>INVIOCE NO.</t>
  </si>
  <si>
    <t>PLACE OF PURCHSES</t>
  </si>
  <si>
    <t>SALE  NO.</t>
  </si>
  <si>
    <t>ARRIVEL  NO.</t>
  </si>
  <si>
    <t>SHORT/EXCES</t>
  </si>
  <si>
    <t>TOTAL ORIGANAL TEA RECEVID OF APRIL 2021-22</t>
  </si>
  <si>
    <t>03.08.2021</t>
  </si>
  <si>
    <t>21.07.2021</t>
  </si>
  <si>
    <t>GS/172/21-22</t>
  </si>
  <si>
    <t>SKIKARPUR &amp; BHANDAPUR TEA ESTATES PVT.LTD.</t>
  </si>
  <si>
    <t>SLG</t>
  </si>
  <si>
    <t>PVT</t>
  </si>
  <si>
    <t>001</t>
  </si>
  <si>
    <t>DIANA TEA COMPANY LTD.</t>
  </si>
  <si>
    <t>G/I/0066/21-22</t>
  </si>
  <si>
    <t>22.07.2021</t>
  </si>
  <si>
    <t>WB-73-E-9830</t>
  </si>
  <si>
    <t>RANICHERA TEA COMPANY LTD.</t>
  </si>
  <si>
    <t>RTFAC/TI116/2122</t>
  </si>
  <si>
    <t>ORIGANAL TEA RECEIVED FOR THE MONTH OF AUGUST 2021-22</t>
  </si>
  <si>
    <t>09.08.2021</t>
  </si>
  <si>
    <t>SLG/T/21-22/002</t>
  </si>
  <si>
    <t>PATAKA  INDUSTRIES PVT.LTD.</t>
  </si>
  <si>
    <t>NL-01-AE-1039</t>
  </si>
  <si>
    <t>002</t>
  </si>
  <si>
    <t>12.08.2021</t>
  </si>
  <si>
    <t>SLG/T/21-22/001</t>
  </si>
  <si>
    <t>003</t>
  </si>
  <si>
    <t>HR-38-R-9907</t>
  </si>
  <si>
    <t>BTE/159/2122</t>
  </si>
  <si>
    <t>THE BELGACHI TEA CO. LTD.</t>
  </si>
  <si>
    <t>004</t>
  </si>
  <si>
    <t>04.08.2021</t>
  </si>
  <si>
    <t>MTCSLG/209/21-22</t>
  </si>
  <si>
    <t>MOGULKATA TEA COMPANY (PVT) LTD.</t>
  </si>
  <si>
    <t>GST/CTC/50/21-22</t>
  </si>
  <si>
    <t>DEBIJHORA TEA CO. LTD.</t>
  </si>
  <si>
    <t>16.08.2021</t>
  </si>
  <si>
    <t>BTI/205/21-22</t>
  </si>
  <si>
    <t>BHARNOBARI TEA AND INDUSTRIES LTD.</t>
  </si>
  <si>
    <t>NL-01-AE-1037</t>
  </si>
  <si>
    <t>005</t>
  </si>
  <si>
    <t>SY/0295/21-22</t>
  </si>
  <si>
    <t>SYLEE TEA ESTATE P LTD.</t>
  </si>
  <si>
    <t>NS/0197/2021-22</t>
  </si>
  <si>
    <t>NYASLYEE TEA ESTSTE P LTD.</t>
  </si>
  <si>
    <t>07.08.2021</t>
  </si>
  <si>
    <t>LTE/319/21-22</t>
  </si>
  <si>
    <t>GIRIRAJ PLANTATIONS PVT.LTD.</t>
  </si>
  <si>
    <t>LTE/325/21-22</t>
  </si>
  <si>
    <t>19.08.2021</t>
  </si>
  <si>
    <t>10.08.2021</t>
  </si>
  <si>
    <t>SLG/T/21-22/003</t>
  </si>
  <si>
    <t>CG-04-JD-0392</t>
  </si>
  <si>
    <t>006</t>
  </si>
  <si>
    <t>23.08.2021</t>
  </si>
  <si>
    <t>SLG/T/21-22/004</t>
  </si>
  <si>
    <t>13.08.2021</t>
  </si>
  <si>
    <t>RTSLG/TI022/2122</t>
  </si>
  <si>
    <t>RANICHERRA TEA CO. LTD.</t>
  </si>
  <si>
    <t>RTFAC/TI138/2122</t>
  </si>
  <si>
    <t>WB-73-C-4212</t>
  </si>
  <si>
    <t>007</t>
  </si>
  <si>
    <t>24.08.2021</t>
  </si>
  <si>
    <t>17.08.2021</t>
  </si>
  <si>
    <t>SLG/T/20-21/005</t>
  </si>
  <si>
    <t>HR-38-Z-5523</t>
  </si>
  <si>
    <t>008</t>
  </si>
  <si>
    <t>27.08.2021</t>
  </si>
  <si>
    <t>26.08.2021</t>
  </si>
  <si>
    <t>31.07.2021</t>
  </si>
  <si>
    <t>GST/033/21-22</t>
  </si>
  <si>
    <t>CENTRAL TEA CO.</t>
  </si>
  <si>
    <t>GUW</t>
  </si>
  <si>
    <t>NL-01-AE-0488</t>
  </si>
  <si>
    <t>009</t>
  </si>
  <si>
    <t>SLG/T/21-22/006</t>
  </si>
  <si>
    <t>UP-14-GT-5801</t>
  </si>
  <si>
    <t>010</t>
  </si>
  <si>
    <t>Arrival Date</t>
  </si>
  <si>
    <t>Place</t>
  </si>
  <si>
    <t xml:space="preserve">Sale No. </t>
  </si>
  <si>
    <t>Pkg.</t>
  </si>
  <si>
    <t>Total</t>
  </si>
  <si>
    <t>Old Stock</t>
  </si>
  <si>
    <t>Total Original Tea Stock</t>
  </si>
  <si>
    <t>KOL</t>
  </si>
  <si>
    <t>05</t>
  </si>
  <si>
    <t>Sale No. Wise as on 28.08.2021-22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</si>
</sst>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1" fontId="2" fillId="0" borderId="9" xfId="0" applyNumberFormat="1" applyFont="1" applyBorder="1" applyAlignment="1">
      <alignment horizontal="center" vertical="center"/>
    </xf>
    <xf numFmtId="0" fontId="2" fillId="0" borderId="14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0" fontId="2" fillId="0" borderId="9" xfId="0" quotePrefix="1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left" vertic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0" fontId="1" fillId="0" borderId="5" xfId="0" applyNumberFormat="1" applyFont="1" applyBorder="1" applyAlignment="1">
      <alignment horizontal="center"/>
    </xf>
    <xf numFmtId="0" fontId="1" fillId="0" borderId="12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right" vertical="center"/>
    </xf>
    <xf numFmtId="0" fontId="1" fillId="0" borderId="7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2" fillId="0" borderId="19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right" vertical="center"/>
    </xf>
    <xf numFmtId="1" fontId="2" fillId="0" borderId="19" xfId="0" applyNumberFormat="1" applyFont="1" applyBorder="1" applyAlignment="1">
      <alignment horizontal="center" vertical="center"/>
    </xf>
    <xf numFmtId="0" fontId="1" fillId="0" borderId="2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8" fillId="0" borderId="28" xfId="0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7" fillId="0" borderId="27" xfId="0" applyNumberFormat="1" applyFont="1" applyBorder="1" applyAlignment="1">
      <alignment horizontal="left" vertical="center"/>
    </xf>
    <xf numFmtId="0" fontId="7" fillId="0" borderId="25" xfId="0" applyNumberFormat="1" applyFont="1" applyBorder="1" applyAlignment="1">
      <alignment horizontal="left" vertical="center"/>
    </xf>
    <xf numFmtId="0" fontId="6" fillId="0" borderId="26" xfId="0" applyFont="1" applyBorder="1" applyAlignment="1">
      <alignment horizontal="left"/>
    </xf>
    <xf numFmtId="2" fontId="6" fillId="0" borderId="31" xfId="0" applyNumberFormat="1" applyFont="1" applyBorder="1" applyAlignment="1">
      <alignment horizontal="right"/>
    </xf>
    <xf numFmtId="0" fontId="7" fillId="0" borderId="26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right"/>
    </xf>
    <xf numFmtId="0" fontId="8" fillId="0" borderId="15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2" fontId="6" fillId="0" borderId="34" xfId="0" applyNumberFormat="1" applyFont="1" applyBorder="1" applyAlignment="1">
      <alignment horizontal="right"/>
    </xf>
    <xf numFmtId="2" fontId="6" fillId="0" borderId="8" xfId="0" applyNumberFormat="1" applyFont="1" applyBorder="1" applyAlignment="1">
      <alignment horizontal="right"/>
    </xf>
    <xf numFmtId="2" fontId="6" fillId="0" borderId="3" xfId="0" applyNumberFormat="1" applyFont="1" applyBorder="1" applyAlignment="1">
      <alignment horizontal="right"/>
    </xf>
    <xf numFmtId="2" fontId="8" fillId="0" borderId="37" xfId="0" applyNumberFormat="1" applyFont="1" applyBorder="1" applyAlignment="1">
      <alignment horizontal="right"/>
    </xf>
    <xf numFmtId="0" fontId="8" fillId="0" borderId="35" xfId="0" applyFont="1" applyBorder="1" applyAlignment="1">
      <alignment horizontal="center"/>
    </xf>
    <xf numFmtId="0" fontId="9" fillId="0" borderId="35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8" fillId="0" borderId="41" xfId="0" applyNumberFormat="1" applyFont="1" applyBorder="1" applyAlignment="1">
      <alignment horizontal="right"/>
    </xf>
    <xf numFmtId="2" fontId="8" fillId="0" borderId="43" xfId="0" applyNumberFormat="1" applyFont="1" applyBorder="1" applyAlignment="1">
      <alignment horizontal="right"/>
    </xf>
    <xf numFmtId="0" fontId="6" fillId="0" borderId="29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2" fillId="0" borderId="10" xfId="0" applyNumberFormat="1" applyFont="1" applyBorder="1" applyAlignment="1">
      <alignment horizontal="center" vertical="center"/>
    </xf>
    <xf numFmtId="0" fontId="12" fillId="0" borderId="36" xfId="0" applyNumberFormat="1" applyFont="1" applyBorder="1" applyAlignment="1">
      <alignment horizontal="center" vertical="center"/>
    </xf>
    <xf numFmtId="0" fontId="12" fillId="0" borderId="19" xfId="0" applyNumberFormat="1" applyFont="1" applyBorder="1" applyAlignment="1">
      <alignment horizontal="center" vertical="center"/>
    </xf>
    <xf numFmtId="0" fontId="12" fillId="0" borderId="18" xfId="0" applyNumberFormat="1" applyFont="1" applyBorder="1" applyAlignment="1">
      <alignment horizontal="center" vertical="center"/>
    </xf>
    <xf numFmtId="0" fontId="12" fillId="2" borderId="33" xfId="0" applyNumberFormat="1" applyFont="1" applyFill="1" applyBorder="1" applyAlignment="1">
      <alignment horizontal="center" vertical="center"/>
    </xf>
    <xf numFmtId="0" fontId="12" fillId="2" borderId="9" xfId="0" applyNumberFormat="1" applyFont="1" applyFill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10" xfId="0" applyNumberFormat="1" applyFont="1" applyFill="1" applyBorder="1" applyAlignment="1">
      <alignment horizontal="center" vertical="center"/>
    </xf>
    <xf numFmtId="2" fontId="12" fillId="0" borderId="23" xfId="0" applyNumberFormat="1" applyFont="1" applyBorder="1" applyAlignment="1">
      <alignment horizontal="right" vertical="center"/>
    </xf>
    <xf numFmtId="2" fontId="12" fillId="0" borderId="30" xfId="0" applyNumberFormat="1" applyFont="1" applyBorder="1" applyAlignment="1">
      <alignment horizontal="right" vertical="center"/>
    </xf>
    <xf numFmtId="2" fontId="12" fillId="0" borderId="31" xfId="0" applyNumberFormat="1" applyFont="1" applyBorder="1" applyAlignment="1">
      <alignment horizontal="right" vertical="center"/>
    </xf>
    <xf numFmtId="2" fontId="12" fillId="0" borderId="31" xfId="0" applyNumberFormat="1" applyFont="1" applyFill="1" applyBorder="1" applyAlignment="1">
      <alignment horizontal="right"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1" xfId="0" applyNumberFormat="1" applyFont="1" applyBorder="1" applyAlignment="1">
      <alignment horizontal="center" vertical="center"/>
    </xf>
    <xf numFmtId="0" fontId="2" fillId="0" borderId="22" xfId="0" applyNumberFormat="1" applyFont="1" applyBorder="1" applyAlignment="1">
      <alignment horizontal="center" vertical="center"/>
    </xf>
    <xf numFmtId="0" fontId="2" fillId="0" borderId="18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19" xfId="0" applyNumberFormat="1" applyFont="1" applyBorder="1" applyAlignment="1">
      <alignment horizontal="center" vertical="center"/>
    </xf>
    <xf numFmtId="0" fontId="2" fillId="0" borderId="18" xfId="0" quotePrefix="1" applyNumberFormat="1" applyFont="1" applyBorder="1" applyAlignment="1">
      <alignment horizontal="center" vertical="center"/>
    </xf>
    <xf numFmtId="0" fontId="2" fillId="0" borderId="10" xfId="0" quotePrefix="1" applyNumberFormat="1" applyFont="1" applyBorder="1" applyAlignment="1">
      <alignment horizontal="center" vertical="center"/>
    </xf>
    <xf numFmtId="0" fontId="2" fillId="0" borderId="19" xfId="0" quotePrefix="1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 wrapText="1"/>
    </xf>
    <xf numFmtId="0" fontId="1" fillId="0" borderId="1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17" xfId="0" applyNumberFormat="1" applyFont="1" applyFill="1" applyBorder="1" applyAlignment="1">
      <alignment horizontal="center" vertical="center" wrapText="1"/>
    </xf>
    <xf numFmtId="0" fontId="2" fillId="0" borderId="25" xfId="0" applyNumberFormat="1" applyFont="1" applyBorder="1" applyAlignment="1">
      <alignment horizontal="center" vertical="center"/>
    </xf>
    <xf numFmtId="0" fontId="2" fillId="0" borderId="26" xfId="0" applyNumberFormat="1" applyFont="1" applyBorder="1" applyAlignment="1">
      <alignment horizontal="center" vertical="center"/>
    </xf>
    <xf numFmtId="0" fontId="2" fillId="0" borderId="27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 vertical="center" wrapText="1"/>
    </xf>
    <xf numFmtId="0" fontId="1" fillId="0" borderId="24" xfId="0" applyNumberFormat="1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0" fontId="7" fillId="0" borderId="14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0" fontId="12" fillId="0" borderId="33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2" fillId="0" borderId="10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7" zoomScaleNormal="100" workbookViewId="0">
      <selection activeCell="H19" activeCellId="2" sqref="H4:H6 H9:H16 H19:H20"/>
    </sheetView>
  </sheetViews>
  <sheetFormatPr defaultRowHeight="15"/>
  <cols>
    <col min="1" max="1" width="9.42578125" style="13" customWidth="1"/>
    <col min="2" max="2" width="9.7109375" style="13" customWidth="1"/>
    <col min="3" max="3" width="16" style="13" bestFit="1" customWidth="1"/>
    <col min="4" max="4" width="39.85546875" style="13" bestFit="1" customWidth="1"/>
    <col min="5" max="5" width="9.140625" style="13" customWidth="1"/>
    <col min="6" max="6" width="5.42578125" style="13" customWidth="1"/>
    <col min="7" max="7" width="5.140625" style="14" customWidth="1"/>
    <col min="8" max="8" width="10.140625" style="20" customWidth="1"/>
    <col min="9" max="9" width="11.5703125" style="20" bestFit="1" customWidth="1"/>
    <col min="10" max="11" width="13.140625" style="14" bestFit="1" customWidth="1"/>
    <col min="12" max="12" width="8.140625" style="13" customWidth="1"/>
    <col min="13" max="13" width="7.140625" style="13" customWidth="1"/>
    <col min="14" max="14" width="11" style="13" bestFit="1" customWidth="1"/>
    <col min="15" max="16384" width="9.140625" style="13"/>
  </cols>
  <sheetData>
    <row r="1" spans="1:13" ht="16.5" thickBot="1">
      <c r="A1" s="93" t="s">
        <v>27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5" customHeight="1">
      <c r="A2" s="94" t="s">
        <v>6</v>
      </c>
      <c r="B2" s="96" t="s">
        <v>7</v>
      </c>
      <c r="C2" s="84" t="s">
        <v>8</v>
      </c>
      <c r="D2" s="84" t="s">
        <v>0</v>
      </c>
      <c r="E2" s="96" t="s">
        <v>9</v>
      </c>
      <c r="F2" s="96" t="s">
        <v>10</v>
      </c>
      <c r="G2" s="84" t="s">
        <v>1</v>
      </c>
      <c r="H2" s="98" t="s">
        <v>2</v>
      </c>
      <c r="I2" s="98" t="s">
        <v>3</v>
      </c>
      <c r="J2" s="84" t="s">
        <v>5</v>
      </c>
      <c r="K2" s="84" t="s">
        <v>4</v>
      </c>
      <c r="L2" s="86" t="s">
        <v>11</v>
      </c>
      <c r="M2" s="88" t="s">
        <v>12</v>
      </c>
    </row>
    <row r="3" spans="1:13" ht="15.75" thickBot="1">
      <c r="A3" s="95"/>
      <c r="B3" s="97"/>
      <c r="C3" s="85"/>
      <c r="D3" s="85"/>
      <c r="E3" s="97"/>
      <c r="F3" s="97"/>
      <c r="G3" s="85"/>
      <c r="H3" s="99"/>
      <c r="I3" s="99"/>
      <c r="J3" s="85"/>
      <c r="K3" s="85"/>
      <c r="L3" s="87"/>
      <c r="M3" s="89"/>
    </row>
    <row r="4" spans="1:13" s="14" customFormat="1" ht="13.5" customHeight="1">
      <c r="A4" s="79" t="s">
        <v>14</v>
      </c>
      <c r="B4" s="24" t="s">
        <v>15</v>
      </c>
      <c r="C4" s="24" t="s">
        <v>16</v>
      </c>
      <c r="D4" s="24" t="s">
        <v>17</v>
      </c>
      <c r="E4" s="24" t="s">
        <v>18</v>
      </c>
      <c r="F4" s="24" t="s">
        <v>19</v>
      </c>
      <c r="G4" s="24">
        <v>100</v>
      </c>
      <c r="H4" s="26">
        <v>3800</v>
      </c>
      <c r="I4" s="26">
        <v>895436</v>
      </c>
      <c r="J4" s="79" t="s">
        <v>24</v>
      </c>
      <c r="K4" s="27">
        <v>801168568474</v>
      </c>
      <c r="L4" s="82" t="s">
        <v>20</v>
      </c>
      <c r="M4" s="28"/>
    </row>
    <row r="5" spans="1:13">
      <c r="A5" s="79"/>
      <c r="B5" s="3" t="s">
        <v>23</v>
      </c>
      <c r="C5" s="3" t="s">
        <v>22</v>
      </c>
      <c r="D5" s="3" t="s">
        <v>21</v>
      </c>
      <c r="E5" s="3" t="s">
        <v>18</v>
      </c>
      <c r="F5" s="3" t="s">
        <v>19</v>
      </c>
      <c r="G5" s="3">
        <v>60</v>
      </c>
      <c r="H5" s="8">
        <v>2280</v>
      </c>
      <c r="I5" s="8">
        <v>577744.02</v>
      </c>
      <c r="J5" s="79"/>
      <c r="K5" s="1">
        <v>891168758618</v>
      </c>
      <c r="L5" s="82"/>
      <c r="M5" s="12"/>
    </row>
    <row r="6" spans="1:13">
      <c r="A6" s="80"/>
      <c r="B6" s="3" t="s">
        <v>23</v>
      </c>
      <c r="C6" s="3" t="s">
        <v>26</v>
      </c>
      <c r="D6" s="3" t="s">
        <v>25</v>
      </c>
      <c r="E6" s="3" t="s">
        <v>18</v>
      </c>
      <c r="F6" s="3" t="s">
        <v>19</v>
      </c>
      <c r="G6" s="3">
        <v>140</v>
      </c>
      <c r="H6" s="8">
        <v>5320</v>
      </c>
      <c r="I6" s="8">
        <v>1204342</v>
      </c>
      <c r="J6" s="80"/>
      <c r="K6" s="1">
        <v>841168809656</v>
      </c>
      <c r="L6" s="83"/>
      <c r="M6" s="4"/>
    </row>
    <row r="7" spans="1:13" s="14" customFormat="1">
      <c r="A7" s="3" t="s">
        <v>28</v>
      </c>
      <c r="B7" s="3" t="s">
        <v>14</v>
      </c>
      <c r="C7" s="3" t="s">
        <v>29</v>
      </c>
      <c r="D7" s="3" t="s">
        <v>30</v>
      </c>
      <c r="E7" s="3" t="s">
        <v>18</v>
      </c>
      <c r="F7" s="3">
        <v>29</v>
      </c>
      <c r="G7" s="3">
        <v>431</v>
      </c>
      <c r="H7" s="8">
        <v>14922.8</v>
      </c>
      <c r="I7" s="8">
        <v>3714166</v>
      </c>
      <c r="J7" s="3" t="s">
        <v>31</v>
      </c>
      <c r="K7" s="1">
        <v>871170884541</v>
      </c>
      <c r="L7" s="10" t="s">
        <v>32</v>
      </c>
      <c r="M7" s="4"/>
    </row>
    <row r="8" spans="1:13" s="14" customFormat="1">
      <c r="A8" s="3" t="s">
        <v>33</v>
      </c>
      <c r="B8" s="3" t="s">
        <v>14</v>
      </c>
      <c r="C8" s="3" t="s">
        <v>34</v>
      </c>
      <c r="D8" s="3" t="s">
        <v>30</v>
      </c>
      <c r="E8" s="3" t="s">
        <v>18</v>
      </c>
      <c r="F8" s="3">
        <v>29</v>
      </c>
      <c r="G8" s="3">
        <v>405</v>
      </c>
      <c r="H8" s="8">
        <v>13715</v>
      </c>
      <c r="I8" s="8">
        <v>3196678</v>
      </c>
      <c r="J8" s="3" t="s">
        <v>36</v>
      </c>
      <c r="K8" s="1">
        <v>891170883656</v>
      </c>
      <c r="L8" s="10" t="s">
        <v>35</v>
      </c>
      <c r="M8" s="4"/>
    </row>
    <row r="9" spans="1:13" s="14" customFormat="1">
      <c r="A9" s="78" t="s">
        <v>33</v>
      </c>
      <c r="B9" s="3" t="s">
        <v>14</v>
      </c>
      <c r="C9" s="3" t="s">
        <v>37</v>
      </c>
      <c r="D9" s="3" t="s">
        <v>38</v>
      </c>
      <c r="E9" s="78" t="s">
        <v>18</v>
      </c>
      <c r="F9" s="78" t="s">
        <v>19</v>
      </c>
      <c r="G9" s="3">
        <v>80</v>
      </c>
      <c r="H9" s="8">
        <v>3040</v>
      </c>
      <c r="I9" s="8">
        <v>594350</v>
      </c>
      <c r="J9" s="78" t="s">
        <v>36</v>
      </c>
      <c r="K9" s="1">
        <v>871171135828</v>
      </c>
      <c r="L9" s="81" t="s">
        <v>39</v>
      </c>
      <c r="M9" s="4"/>
    </row>
    <row r="10" spans="1:13">
      <c r="A10" s="79"/>
      <c r="B10" s="3" t="s">
        <v>40</v>
      </c>
      <c r="C10" s="3" t="s">
        <v>41</v>
      </c>
      <c r="D10" s="3" t="s">
        <v>42</v>
      </c>
      <c r="E10" s="79"/>
      <c r="F10" s="79"/>
      <c r="G10" s="3">
        <v>60</v>
      </c>
      <c r="H10" s="8">
        <v>1560</v>
      </c>
      <c r="I10" s="8">
        <v>321048</v>
      </c>
      <c r="J10" s="79"/>
      <c r="K10" s="1">
        <v>871171135828</v>
      </c>
      <c r="L10" s="82"/>
      <c r="M10" s="4"/>
    </row>
    <row r="11" spans="1:13">
      <c r="A11" s="80"/>
      <c r="B11" s="3" t="s">
        <v>40</v>
      </c>
      <c r="C11" s="3" t="s">
        <v>43</v>
      </c>
      <c r="D11" s="3" t="s">
        <v>44</v>
      </c>
      <c r="E11" s="80"/>
      <c r="F11" s="80"/>
      <c r="G11" s="3">
        <v>61</v>
      </c>
      <c r="H11" s="8">
        <v>2135</v>
      </c>
      <c r="I11" s="8">
        <v>402288</v>
      </c>
      <c r="J11" s="80"/>
      <c r="K11" s="1">
        <v>881171081582</v>
      </c>
      <c r="L11" s="83"/>
      <c r="M11" s="4"/>
    </row>
    <row r="12" spans="1:13">
      <c r="A12" s="75" t="s">
        <v>45</v>
      </c>
      <c r="B12" s="3" t="s">
        <v>28</v>
      </c>
      <c r="C12" s="3" t="s">
        <v>46</v>
      </c>
      <c r="D12" s="3" t="s">
        <v>47</v>
      </c>
      <c r="E12" s="78" t="s">
        <v>18</v>
      </c>
      <c r="F12" s="78" t="s">
        <v>19</v>
      </c>
      <c r="G12" s="3">
        <v>140</v>
      </c>
      <c r="H12" s="8">
        <v>3780</v>
      </c>
      <c r="I12" s="8">
        <v>836268</v>
      </c>
      <c r="J12" s="78" t="s">
        <v>48</v>
      </c>
      <c r="K12" s="1">
        <v>811172020749</v>
      </c>
      <c r="L12" s="81" t="s">
        <v>49</v>
      </c>
      <c r="M12" s="4"/>
    </row>
    <row r="13" spans="1:13">
      <c r="A13" s="76"/>
      <c r="B13" s="3" t="s">
        <v>40</v>
      </c>
      <c r="C13" s="3" t="s">
        <v>50</v>
      </c>
      <c r="D13" s="3" t="s">
        <v>51</v>
      </c>
      <c r="E13" s="79"/>
      <c r="F13" s="79"/>
      <c r="G13" s="3">
        <v>80</v>
      </c>
      <c r="H13" s="8">
        <v>2400</v>
      </c>
      <c r="I13" s="8">
        <v>519234</v>
      </c>
      <c r="J13" s="79"/>
      <c r="K13" s="1">
        <v>841171151148</v>
      </c>
      <c r="L13" s="82"/>
      <c r="M13" s="4"/>
    </row>
    <row r="14" spans="1:13">
      <c r="A14" s="76"/>
      <c r="B14" s="3" t="s">
        <v>40</v>
      </c>
      <c r="C14" s="3" t="s">
        <v>52</v>
      </c>
      <c r="D14" s="3" t="s">
        <v>53</v>
      </c>
      <c r="E14" s="79"/>
      <c r="F14" s="79"/>
      <c r="G14" s="3">
        <v>55</v>
      </c>
      <c r="H14" s="8">
        <v>1650</v>
      </c>
      <c r="I14" s="8">
        <v>352536</v>
      </c>
      <c r="J14" s="79"/>
      <c r="K14" s="1">
        <v>831171155345</v>
      </c>
      <c r="L14" s="82"/>
      <c r="M14" s="4"/>
    </row>
    <row r="15" spans="1:13">
      <c r="A15" s="76"/>
      <c r="B15" s="3" t="s">
        <v>54</v>
      </c>
      <c r="C15" s="3" t="s">
        <v>55</v>
      </c>
      <c r="D15" s="3" t="s">
        <v>56</v>
      </c>
      <c r="E15" s="79"/>
      <c r="F15" s="79"/>
      <c r="G15" s="3">
        <v>56</v>
      </c>
      <c r="H15" s="8">
        <v>1456</v>
      </c>
      <c r="I15" s="8">
        <v>327629</v>
      </c>
      <c r="J15" s="79"/>
      <c r="K15" s="1">
        <v>871171629813</v>
      </c>
      <c r="L15" s="82"/>
      <c r="M15" s="4"/>
    </row>
    <row r="16" spans="1:13">
      <c r="A16" s="77"/>
      <c r="B16" s="3" t="s">
        <v>28</v>
      </c>
      <c r="C16" s="3" t="s">
        <v>57</v>
      </c>
      <c r="D16" s="3" t="s">
        <v>56</v>
      </c>
      <c r="E16" s="80"/>
      <c r="F16" s="80"/>
      <c r="G16" s="3">
        <v>255</v>
      </c>
      <c r="H16" s="8">
        <v>6855</v>
      </c>
      <c r="I16" s="8">
        <v>1513993</v>
      </c>
      <c r="J16" s="80"/>
      <c r="K16" s="1">
        <v>821171986036</v>
      </c>
      <c r="L16" s="83"/>
      <c r="M16" s="4"/>
    </row>
    <row r="17" spans="1:13">
      <c r="A17" s="2" t="s">
        <v>58</v>
      </c>
      <c r="B17" s="3" t="s">
        <v>59</v>
      </c>
      <c r="C17" s="3" t="s">
        <v>60</v>
      </c>
      <c r="D17" s="3" t="s">
        <v>30</v>
      </c>
      <c r="E17" s="3" t="s">
        <v>18</v>
      </c>
      <c r="F17" s="3">
        <v>30</v>
      </c>
      <c r="G17" s="3">
        <v>500</v>
      </c>
      <c r="H17" s="8">
        <v>17900.599999999999</v>
      </c>
      <c r="I17" s="8">
        <v>4069066</v>
      </c>
      <c r="J17" s="3" t="s">
        <v>61</v>
      </c>
      <c r="K17" s="1">
        <v>811172136918</v>
      </c>
      <c r="L17" s="10" t="s">
        <v>62</v>
      </c>
      <c r="M17" s="4"/>
    </row>
    <row r="18" spans="1:13">
      <c r="A18" s="90" t="s">
        <v>63</v>
      </c>
      <c r="B18" s="3" t="s">
        <v>59</v>
      </c>
      <c r="C18" s="3" t="s">
        <v>64</v>
      </c>
      <c r="D18" s="3" t="s">
        <v>30</v>
      </c>
      <c r="E18" s="3" t="s">
        <v>18</v>
      </c>
      <c r="F18" s="3">
        <v>30</v>
      </c>
      <c r="G18" s="3">
        <v>200</v>
      </c>
      <c r="H18" s="8">
        <v>7039</v>
      </c>
      <c r="I18" s="8">
        <v>1604280</v>
      </c>
      <c r="J18" s="78" t="s">
        <v>69</v>
      </c>
      <c r="K18" s="1"/>
      <c r="L18" s="10"/>
      <c r="M18" s="4"/>
    </row>
    <row r="19" spans="1:13">
      <c r="A19" s="91"/>
      <c r="B19" s="3" t="s">
        <v>65</v>
      </c>
      <c r="C19" s="3" t="s">
        <v>66</v>
      </c>
      <c r="D19" s="3" t="s">
        <v>67</v>
      </c>
      <c r="E19" s="3" t="s">
        <v>18</v>
      </c>
      <c r="F19" s="3" t="s">
        <v>19</v>
      </c>
      <c r="G19" s="3">
        <v>30</v>
      </c>
      <c r="H19" s="8">
        <v>1140</v>
      </c>
      <c r="I19" s="8">
        <v>243996</v>
      </c>
      <c r="J19" s="79"/>
      <c r="K19" s="1">
        <v>821172707366</v>
      </c>
      <c r="L19" s="10" t="s">
        <v>70</v>
      </c>
      <c r="M19" s="4"/>
    </row>
    <row r="20" spans="1:13">
      <c r="A20" s="92"/>
      <c r="B20" s="3" t="s">
        <v>65</v>
      </c>
      <c r="C20" s="3" t="s">
        <v>68</v>
      </c>
      <c r="D20" s="3" t="s">
        <v>67</v>
      </c>
      <c r="E20" s="3" t="s">
        <v>18</v>
      </c>
      <c r="F20" s="3" t="s">
        <v>19</v>
      </c>
      <c r="G20" s="3">
        <v>180</v>
      </c>
      <c r="H20" s="8">
        <v>6840</v>
      </c>
      <c r="I20" s="8">
        <v>1452248</v>
      </c>
      <c r="J20" s="80"/>
      <c r="K20" s="1">
        <v>881172798243</v>
      </c>
      <c r="L20" s="10"/>
      <c r="M20" s="4"/>
    </row>
    <row r="21" spans="1:13">
      <c r="A21" s="2" t="s">
        <v>71</v>
      </c>
      <c r="B21" s="3" t="s">
        <v>72</v>
      </c>
      <c r="C21" s="3" t="s">
        <v>73</v>
      </c>
      <c r="D21" s="3" t="s">
        <v>30</v>
      </c>
      <c r="E21" s="3" t="s">
        <v>18</v>
      </c>
      <c r="F21" s="3">
        <v>31</v>
      </c>
      <c r="G21" s="3">
        <v>530</v>
      </c>
      <c r="H21" s="8">
        <v>18313</v>
      </c>
      <c r="I21" s="8">
        <v>4225111</v>
      </c>
      <c r="J21" s="3" t="s">
        <v>74</v>
      </c>
      <c r="K21" s="1">
        <v>801173386957</v>
      </c>
      <c r="L21" s="10" t="s">
        <v>75</v>
      </c>
      <c r="M21" s="4"/>
    </row>
    <row r="22" spans="1:13">
      <c r="A22" s="2" t="s">
        <v>77</v>
      </c>
      <c r="B22" s="3" t="s">
        <v>78</v>
      </c>
      <c r="C22" s="3" t="s">
        <v>79</v>
      </c>
      <c r="D22" s="3" t="s">
        <v>80</v>
      </c>
      <c r="E22" s="3" t="s">
        <v>81</v>
      </c>
      <c r="F22" s="3">
        <v>30</v>
      </c>
      <c r="G22" s="3">
        <v>111</v>
      </c>
      <c r="H22" s="8">
        <v>4844.7</v>
      </c>
      <c r="I22" s="8">
        <v>1366576</v>
      </c>
      <c r="J22" s="3" t="s">
        <v>82</v>
      </c>
      <c r="K22" s="1">
        <v>791205232146</v>
      </c>
      <c r="L22" s="10" t="s">
        <v>83</v>
      </c>
      <c r="M22" s="4"/>
    </row>
    <row r="23" spans="1:13">
      <c r="A23" s="2" t="s">
        <v>76</v>
      </c>
      <c r="B23" s="3" t="s">
        <v>72</v>
      </c>
      <c r="C23" s="3" t="s">
        <v>84</v>
      </c>
      <c r="D23" s="3" t="s">
        <v>30</v>
      </c>
      <c r="E23" s="3" t="s">
        <v>18</v>
      </c>
      <c r="F23" s="3">
        <v>31</v>
      </c>
      <c r="G23" s="3">
        <v>300</v>
      </c>
      <c r="H23" s="8">
        <v>10855.2</v>
      </c>
      <c r="I23" s="8">
        <v>2692882</v>
      </c>
      <c r="J23" s="3" t="s">
        <v>85</v>
      </c>
      <c r="K23" s="1">
        <v>891173387931</v>
      </c>
      <c r="L23" s="10" t="s">
        <v>86</v>
      </c>
      <c r="M23" s="4"/>
    </row>
    <row r="24" spans="1:13">
      <c r="A24" s="2"/>
      <c r="B24" s="3"/>
      <c r="C24" s="3"/>
      <c r="D24" s="3"/>
      <c r="E24" s="3"/>
      <c r="F24" s="3"/>
      <c r="G24" s="3"/>
      <c r="H24" s="8"/>
      <c r="I24" s="8"/>
      <c r="J24" s="3"/>
      <c r="K24" s="1"/>
      <c r="L24" s="3"/>
      <c r="M24" s="4"/>
    </row>
    <row r="25" spans="1:13">
      <c r="A25" s="2"/>
      <c r="B25" s="3"/>
      <c r="C25" s="3"/>
      <c r="D25" s="3"/>
      <c r="E25" s="3"/>
      <c r="F25" s="3"/>
      <c r="G25" s="3"/>
      <c r="H25" s="8"/>
      <c r="I25" s="8"/>
      <c r="J25" s="3"/>
      <c r="K25" s="1"/>
      <c r="L25" s="3"/>
      <c r="M25" s="4"/>
    </row>
    <row r="26" spans="1:13">
      <c r="A26" s="2"/>
      <c r="B26" s="3"/>
      <c r="C26" s="3"/>
      <c r="D26" s="3"/>
      <c r="E26" s="3"/>
      <c r="F26" s="3"/>
      <c r="G26" s="3"/>
      <c r="H26" s="8"/>
      <c r="I26" s="8"/>
      <c r="J26" s="3"/>
      <c r="K26" s="1"/>
      <c r="L26" s="3"/>
      <c r="M26" s="4"/>
    </row>
    <row r="27" spans="1:13">
      <c r="A27" s="2"/>
      <c r="B27" s="3"/>
      <c r="C27" s="3"/>
      <c r="D27" s="3"/>
      <c r="E27" s="3"/>
      <c r="F27" s="3"/>
      <c r="G27" s="3"/>
      <c r="H27" s="8"/>
      <c r="I27" s="8"/>
      <c r="J27" s="3"/>
      <c r="K27" s="1"/>
      <c r="L27" s="3"/>
      <c r="M27" s="4"/>
    </row>
    <row r="28" spans="1:13">
      <c r="A28" s="2"/>
      <c r="B28" s="3"/>
      <c r="C28" s="3"/>
      <c r="D28" s="3"/>
      <c r="E28" s="3"/>
      <c r="F28" s="3"/>
      <c r="G28" s="3"/>
      <c r="H28" s="8"/>
      <c r="I28" s="8"/>
      <c r="J28" s="3"/>
      <c r="K28" s="1"/>
      <c r="L28" s="3"/>
      <c r="M28" s="4"/>
    </row>
    <row r="29" spans="1:13">
      <c r="A29" s="2"/>
      <c r="B29" s="3"/>
      <c r="C29" s="3"/>
      <c r="D29" s="3"/>
      <c r="E29" s="3"/>
      <c r="F29" s="3"/>
      <c r="G29" s="3"/>
      <c r="H29" s="8"/>
      <c r="I29" s="8"/>
      <c r="J29" s="3"/>
      <c r="K29" s="1"/>
      <c r="L29" s="3"/>
      <c r="M29" s="4"/>
    </row>
    <row r="30" spans="1:13">
      <c r="A30" s="2"/>
      <c r="B30" s="3"/>
      <c r="C30" s="3"/>
      <c r="D30" s="3"/>
      <c r="E30" s="3"/>
      <c r="F30" s="3"/>
      <c r="G30" s="3"/>
      <c r="H30" s="8"/>
      <c r="I30" s="8"/>
      <c r="J30" s="3"/>
      <c r="K30" s="1"/>
      <c r="L30" s="3"/>
      <c r="M30" s="4"/>
    </row>
    <row r="31" spans="1:13">
      <c r="A31" s="2"/>
      <c r="B31" s="3"/>
      <c r="C31" s="3"/>
      <c r="D31" s="3"/>
      <c r="E31" s="3"/>
      <c r="F31" s="3"/>
      <c r="G31" s="3"/>
      <c r="H31" s="8"/>
      <c r="I31" s="8"/>
      <c r="J31" s="3"/>
      <c r="K31" s="1"/>
      <c r="L31" s="3"/>
      <c r="M31" s="4"/>
    </row>
    <row r="32" spans="1:13">
      <c r="A32" s="2"/>
      <c r="B32" s="3"/>
      <c r="C32" s="3"/>
      <c r="D32" s="3"/>
      <c r="E32" s="3"/>
      <c r="F32" s="3"/>
      <c r="G32" s="3"/>
      <c r="H32" s="8"/>
      <c r="I32" s="8"/>
      <c r="J32" s="3"/>
      <c r="K32" s="1"/>
      <c r="L32" s="3"/>
      <c r="M32" s="4"/>
    </row>
    <row r="33" spans="1:13" ht="15.75" thickBot="1">
      <c r="A33" s="5"/>
      <c r="B33" s="6"/>
      <c r="C33" s="6"/>
      <c r="D33" s="6"/>
      <c r="E33" s="6"/>
      <c r="F33" s="6"/>
      <c r="G33" s="6"/>
      <c r="H33" s="9"/>
      <c r="I33" s="9"/>
      <c r="J33" s="6"/>
      <c r="K33" s="11"/>
      <c r="L33" s="6"/>
      <c r="M33" s="7"/>
    </row>
    <row r="34" spans="1:13" ht="15.75" thickBot="1">
      <c r="A34" s="25" t="s">
        <v>13</v>
      </c>
      <c r="B34" s="15"/>
      <c r="C34" s="15"/>
      <c r="D34" s="16"/>
      <c r="E34" s="17"/>
      <c r="F34" s="17"/>
      <c r="G34" s="21">
        <f>SUM(G4:G33)</f>
        <v>3774</v>
      </c>
      <c r="H34" s="22">
        <f>SUM(H4:H33)</f>
        <v>129846.29999999999</v>
      </c>
      <c r="I34" s="22">
        <f>SUM(I4:I33)</f>
        <v>30109871.02</v>
      </c>
      <c r="J34" s="18"/>
      <c r="K34" s="18"/>
      <c r="L34" s="17"/>
      <c r="M34" s="19"/>
    </row>
    <row r="37" spans="1:13" ht="15" customHeight="1">
      <c r="H37" s="23"/>
    </row>
    <row r="38" spans="1:13" ht="15" customHeight="1">
      <c r="H38" s="23"/>
    </row>
  </sheetData>
  <mergeCells count="29">
    <mergeCell ref="J18:J20"/>
    <mergeCell ref="A18:A20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12:J16"/>
    <mergeCell ref="L12:L16"/>
    <mergeCell ref="A4:A6"/>
    <mergeCell ref="J4:J6"/>
    <mergeCell ref="L4:L6"/>
    <mergeCell ref="J2:J3"/>
    <mergeCell ref="K2:K3"/>
    <mergeCell ref="L2:L3"/>
    <mergeCell ref="M2:M3"/>
    <mergeCell ref="A12:A16"/>
    <mergeCell ref="E12:E16"/>
    <mergeCell ref="F12:F16"/>
    <mergeCell ref="L9:L11"/>
    <mergeCell ref="J9:J11"/>
    <mergeCell ref="F9:F11"/>
    <mergeCell ref="E9:E11"/>
    <mergeCell ref="A9:A11"/>
  </mergeCells>
  <pageMargins left="0.17" right="0.1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>
      <selection activeCell="A2" sqref="A2"/>
    </sheetView>
  </sheetViews>
  <sheetFormatPr defaultRowHeight="15"/>
  <cols>
    <col min="1" max="1" width="13.85546875" style="30" customWidth="1"/>
    <col min="2" max="2" width="8.140625" style="29" bestFit="1" customWidth="1"/>
    <col min="3" max="3" width="11.28515625" style="29" bestFit="1" customWidth="1"/>
    <col min="4" max="4" width="7.85546875" style="29" bestFit="1" customWidth="1"/>
    <col min="5" max="5" width="14.42578125" style="31" bestFit="1" customWidth="1"/>
  </cols>
  <sheetData>
    <row r="1" spans="1:5" ht="21.75" thickBot="1">
      <c r="A1" s="105" t="s">
        <v>96</v>
      </c>
      <c r="B1" s="105"/>
      <c r="C1" s="105"/>
      <c r="D1" s="105"/>
      <c r="E1" s="105"/>
    </row>
    <row r="2" spans="1:5" s="52" customFormat="1" ht="38.25" thickBot="1">
      <c r="A2" s="50" t="s">
        <v>87</v>
      </c>
      <c r="B2" s="48" t="s">
        <v>88</v>
      </c>
      <c r="C2" s="49" t="s">
        <v>89</v>
      </c>
      <c r="D2" s="48" t="s">
        <v>90</v>
      </c>
      <c r="E2" s="51" t="s">
        <v>2</v>
      </c>
    </row>
    <row r="3" spans="1:5">
      <c r="A3" s="34" t="s">
        <v>28</v>
      </c>
      <c r="B3" s="106" t="s">
        <v>18</v>
      </c>
      <c r="C3" s="106">
        <v>29</v>
      </c>
      <c r="D3" s="63">
        <v>431</v>
      </c>
      <c r="E3" s="71">
        <v>14922.8</v>
      </c>
    </row>
    <row r="4" spans="1:5" ht="15.75" thickBot="1">
      <c r="A4" s="35" t="s">
        <v>33</v>
      </c>
      <c r="B4" s="106"/>
      <c r="C4" s="106"/>
      <c r="D4" s="64">
        <v>405</v>
      </c>
      <c r="E4" s="72">
        <v>13715</v>
      </c>
    </row>
    <row r="5" spans="1:5" ht="16.5" thickBot="1">
      <c r="A5" s="32" t="s">
        <v>91</v>
      </c>
      <c r="B5" s="55"/>
      <c r="C5" s="56"/>
      <c r="D5" s="47">
        <f>D3+D4</f>
        <v>836</v>
      </c>
      <c r="E5" s="46">
        <f>E3+E4</f>
        <v>28637.8</v>
      </c>
    </row>
    <row r="6" spans="1:5">
      <c r="A6" s="34" t="s">
        <v>58</v>
      </c>
      <c r="B6" s="106" t="s">
        <v>18</v>
      </c>
      <c r="C6" s="106">
        <v>30</v>
      </c>
      <c r="D6" s="63">
        <v>500</v>
      </c>
      <c r="E6" s="71">
        <v>17900.599999999999</v>
      </c>
    </row>
    <row r="7" spans="1:5" ht="15.75" thickBot="1">
      <c r="A7" s="35" t="s">
        <v>63</v>
      </c>
      <c r="B7" s="106"/>
      <c r="C7" s="106"/>
      <c r="D7" s="64">
        <v>200</v>
      </c>
      <c r="E7" s="72">
        <v>7039</v>
      </c>
    </row>
    <row r="8" spans="1:5" ht="16.5" thickBot="1">
      <c r="A8" s="32" t="s">
        <v>91</v>
      </c>
      <c r="B8" s="55"/>
      <c r="C8" s="56"/>
      <c r="D8" s="47">
        <f>D6+D7</f>
        <v>700</v>
      </c>
      <c r="E8" s="46">
        <f>E6+E7</f>
        <v>24939.599999999999</v>
      </c>
    </row>
    <row r="9" spans="1:5">
      <c r="A9" s="34" t="s">
        <v>71</v>
      </c>
      <c r="B9" s="106" t="s">
        <v>18</v>
      </c>
      <c r="C9" s="106">
        <v>31</v>
      </c>
      <c r="D9" s="63">
        <v>530</v>
      </c>
      <c r="E9" s="71">
        <v>18313</v>
      </c>
    </row>
    <row r="10" spans="1:5" ht="15.75" thickBot="1">
      <c r="A10" s="35" t="s">
        <v>76</v>
      </c>
      <c r="B10" s="106"/>
      <c r="C10" s="106"/>
      <c r="D10" s="64">
        <v>300</v>
      </c>
      <c r="E10" s="72">
        <v>10855.2</v>
      </c>
    </row>
    <row r="11" spans="1:5" ht="16.5" thickBot="1">
      <c r="A11" s="32" t="s">
        <v>91</v>
      </c>
      <c r="B11" s="55"/>
      <c r="C11" s="56"/>
      <c r="D11" s="47">
        <f>D9+D10</f>
        <v>830</v>
      </c>
      <c r="E11" s="46">
        <f>E9+E10</f>
        <v>29168.2</v>
      </c>
    </row>
    <row r="12" spans="1:5" ht="15.75" thickBot="1">
      <c r="A12" s="36" t="s">
        <v>92</v>
      </c>
      <c r="B12" s="33" t="s">
        <v>18</v>
      </c>
      <c r="C12" s="33">
        <v>48</v>
      </c>
      <c r="D12" s="33">
        <v>110</v>
      </c>
      <c r="E12" s="37">
        <v>4017</v>
      </c>
    </row>
    <row r="13" spans="1:5" ht="16.5" thickBot="1">
      <c r="A13" s="32" t="s">
        <v>91</v>
      </c>
      <c r="B13" s="55"/>
      <c r="C13" s="56"/>
      <c r="D13" s="47">
        <f>D12</f>
        <v>110</v>
      </c>
      <c r="E13" s="46">
        <f>E12</f>
        <v>4017</v>
      </c>
    </row>
    <row r="14" spans="1:5" ht="15.75" thickBot="1">
      <c r="A14" s="36" t="s">
        <v>92</v>
      </c>
      <c r="B14" s="33" t="s">
        <v>18</v>
      </c>
      <c r="C14" s="33">
        <v>49</v>
      </c>
      <c r="D14" s="33">
        <v>955</v>
      </c>
      <c r="E14" s="37">
        <v>33472.199999999997</v>
      </c>
    </row>
    <row r="15" spans="1:5" ht="16.5" thickBot="1">
      <c r="A15" s="41" t="s">
        <v>91</v>
      </c>
      <c r="B15" s="57"/>
      <c r="C15" s="58"/>
      <c r="D15" s="47">
        <f>D14</f>
        <v>955</v>
      </c>
      <c r="E15" s="53">
        <f>E14</f>
        <v>33472.199999999997</v>
      </c>
    </row>
    <row r="16" spans="1:5">
      <c r="A16" s="107" t="s">
        <v>14</v>
      </c>
      <c r="B16" s="102" t="s">
        <v>18</v>
      </c>
      <c r="C16" s="102" t="s">
        <v>19</v>
      </c>
      <c r="D16" s="65">
        <v>100</v>
      </c>
      <c r="E16" s="43">
        <v>3800</v>
      </c>
    </row>
    <row r="17" spans="1:5">
      <c r="A17" s="100"/>
      <c r="B17" s="103"/>
      <c r="C17" s="103"/>
      <c r="D17" s="66">
        <v>60</v>
      </c>
      <c r="E17" s="44">
        <v>2280</v>
      </c>
    </row>
    <row r="18" spans="1:5">
      <c r="A18" s="100"/>
      <c r="B18" s="103"/>
      <c r="C18" s="103"/>
      <c r="D18" s="66">
        <v>140</v>
      </c>
      <c r="E18" s="44">
        <v>5320</v>
      </c>
    </row>
    <row r="19" spans="1:5">
      <c r="A19" s="100" t="s">
        <v>33</v>
      </c>
      <c r="B19" s="103"/>
      <c r="C19" s="103"/>
      <c r="D19" s="67">
        <v>80</v>
      </c>
      <c r="E19" s="44">
        <v>3040</v>
      </c>
    </row>
    <row r="20" spans="1:5">
      <c r="A20" s="100"/>
      <c r="B20" s="103"/>
      <c r="C20" s="103"/>
      <c r="D20" s="67">
        <v>60</v>
      </c>
      <c r="E20" s="44">
        <v>1560</v>
      </c>
    </row>
    <row r="21" spans="1:5">
      <c r="A21" s="100"/>
      <c r="B21" s="103"/>
      <c r="C21" s="103"/>
      <c r="D21" s="67">
        <v>61</v>
      </c>
      <c r="E21" s="44">
        <v>2135</v>
      </c>
    </row>
    <row r="22" spans="1:5">
      <c r="A22" s="100" t="s">
        <v>45</v>
      </c>
      <c r="B22" s="103"/>
      <c r="C22" s="103"/>
      <c r="D22" s="68">
        <v>140</v>
      </c>
      <c r="E22" s="44">
        <v>3780</v>
      </c>
    </row>
    <row r="23" spans="1:5">
      <c r="A23" s="100"/>
      <c r="B23" s="103"/>
      <c r="C23" s="103"/>
      <c r="D23" s="68">
        <v>80</v>
      </c>
      <c r="E23" s="44">
        <v>2400</v>
      </c>
    </row>
    <row r="24" spans="1:5">
      <c r="A24" s="100"/>
      <c r="B24" s="103"/>
      <c r="C24" s="103"/>
      <c r="D24" s="68">
        <v>55</v>
      </c>
      <c r="E24" s="44">
        <v>1650</v>
      </c>
    </row>
    <row r="25" spans="1:5">
      <c r="A25" s="100"/>
      <c r="B25" s="103"/>
      <c r="C25" s="103"/>
      <c r="D25" s="68">
        <v>56</v>
      </c>
      <c r="E25" s="44">
        <v>1456</v>
      </c>
    </row>
    <row r="26" spans="1:5">
      <c r="A26" s="100"/>
      <c r="B26" s="103"/>
      <c r="C26" s="103"/>
      <c r="D26" s="68">
        <v>255</v>
      </c>
      <c r="E26" s="44">
        <v>6855</v>
      </c>
    </row>
    <row r="27" spans="1:5">
      <c r="A27" s="100" t="s">
        <v>63</v>
      </c>
      <c r="B27" s="103"/>
      <c r="C27" s="103"/>
      <c r="D27" s="67">
        <v>30</v>
      </c>
      <c r="E27" s="44">
        <v>1140</v>
      </c>
    </row>
    <row r="28" spans="1:5" ht="15.75" thickBot="1">
      <c r="A28" s="101"/>
      <c r="B28" s="104"/>
      <c r="C28" s="104"/>
      <c r="D28" s="69">
        <v>180</v>
      </c>
      <c r="E28" s="45">
        <v>6840</v>
      </c>
    </row>
    <row r="29" spans="1:5" ht="16.5" thickBot="1">
      <c r="A29" s="42" t="s">
        <v>91</v>
      </c>
      <c r="B29" s="59"/>
      <c r="C29" s="60"/>
      <c r="D29" s="47">
        <f>SUM(D16:D28)</f>
        <v>1297</v>
      </c>
      <c r="E29" s="54">
        <f>SUM(E16:E28)</f>
        <v>42256</v>
      </c>
    </row>
    <row r="30" spans="1:5" ht="15.75" thickBot="1">
      <c r="A30" s="38" t="s">
        <v>77</v>
      </c>
      <c r="B30" s="61" t="s">
        <v>81</v>
      </c>
      <c r="C30" s="61">
        <v>30</v>
      </c>
      <c r="D30" s="61">
        <v>111</v>
      </c>
      <c r="E30" s="73">
        <v>4844.7</v>
      </c>
    </row>
    <row r="31" spans="1:5" ht="16.5" thickBot="1">
      <c r="A31" s="32" t="s">
        <v>91</v>
      </c>
      <c r="B31" s="55"/>
      <c r="C31" s="56"/>
      <c r="D31" s="47">
        <f>D30</f>
        <v>111</v>
      </c>
      <c r="E31" s="46">
        <f>E30</f>
        <v>4844.7</v>
      </c>
    </row>
    <row r="32" spans="1:5" ht="15.75" thickBot="1">
      <c r="A32" s="36" t="s">
        <v>92</v>
      </c>
      <c r="B32" s="61" t="s">
        <v>81</v>
      </c>
      <c r="C32" s="61">
        <v>36</v>
      </c>
      <c r="D32" s="70">
        <v>20</v>
      </c>
      <c r="E32" s="74">
        <v>397.5</v>
      </c>
    </row>
    <row r="33" spans="1:5" ht="16.5" thickBot="1">
      <c r="A33" s="32" t="s">
        <v>91</v>
      </c>
      <c r="B33" s="55"/>
      <c r="C33" s="56"/>
      <c r="D33" s="47">
        <f>D32</f>
        <v>20</v>
      </c>
      <c r="E33" s="46">
        <f>E32</f>
        <v>397.5</v>
      </c>
    </row>
    <row r="34" spans="1:5" ht="15.75" thickBot="1">
      <c r="A34" s="36" t="s">
        <v>92</v>
      </c>
      <c r="B34" s="61" t="s">
        <v>81</v>
      </c>
      <c r="C34" s="61">
        <v>41</v>
      </c>
      <c r="D34" s="33">
        <v>40</v>
      </c>
      <c r="E34" s="37">
        <v>909.4</v>
      </c>
    </row>
    <row r="35" spans="1:5" ht="16.5" thickBot="1">
      <c r="A35" s="32" t="s">
        <v>91</v>
      </c>
      <c r="B35" s="55"/>
      <c r="C35" s="62"/>
      <c r="D35" s="47">
        <f>D34</f>
        <v>40</v>
      </c>
      <c r="E35" s="46">
        <f>E34</f>
        <v>909.4</v>
      </c>
    </row>
    <row r="36" spans="1:5" ht="15.75" thickBot="1">
      <c r="A36" s="36" t="s">
        <v>92</v>
      </c>
      <c r="B36" s="61" t="s">
        <v>81</v>
      </c>
      <c r="C36" s="61">
        <v>50</v>
      </c>
      <c r="D36" s="33">
        <v>40</v>
      </c>
      <c r="E36" s="37">
        <v>1224</v>
      </c>
    </row>
    <row r="37" spans="1:5" ht="16.5" thickBot="1">
      <c r="A37" s="32" t="s">
        <v>91</v>
      </c>
      <c r="B37" s="55"/>
      <c r="C37" s="56"/>
      <c r="D37" s="47">
        <f>D36</f>
        <v>40</v>
      </c>
      <c r="E37" s="46">
        <f>E36</f>
        <v>1224</v>
      </c>
    </row>
    <row r="38" spans="1:5" ht="15.75" thickBot="1">
      <c r="A38" s="36" t="s">
        <v>92</v>
      </c>
      <c r="B38" s="61" t="s">
        <v>94</v>
      </c>
      <c r="C38" s="61" t="s">
        <v>19</v>
      </c>
      <c r="D38" s="33" t="s">
        <v>95</v>
      </c>
      <c r="E38" s="37">
        <v>120</v>
      </c>
    </row>
    <row r="39" spans="1:5" ht="16.5" thickBot="1">
      <c r="A39" s="32" t="s">
        <v>91</v>
      </c>
      <c r="B39" s="55"/>
      <c r="C39" s="56"/>
      <c r="D39" s="47" t="str">
        <f>D38</f>
        <v>05</v>
      </c>
      <c r="E39" s="46">
        <f>E38</f>
        <v>120</v>
      </c>
    </row>
    <row r="41" spans="1:5" ht="18.75">
      <c r="A41" s="39" t="s">
        <v>93</v>
      </c>
      <c r="D41" s="39">
        <f>D5+D8+D11+D13+D15+D29+D31+D33+D35+D37+D39</f>
        <v>4944</v>
      </c>
      <c r="E41" s="40">
        <f>E5+E8+E11+E13+E15+E29+E31+E33+E35+E37+E39</f>
        <v>169986.4</v>
      </c>
    </row>
  </sheetData>
  <mergeCells count="13">
    <mergeCell ref="A27:A28"/>
    <mergeCell ref="C16:C28"/>
    <mergeCell ref="B16:B28"/>
    <mergeCell ref="A1:E1"/>
    <mergeCell ref="A19:A21"/>
    <mergeCell ref="A22:A26"/>
    <mergeCell ref="B9:B10"/>
    <mergeCell ref="C9:C10"/>
    <mergeCell ref="B6:B7"/>
    <mergeCell ref="C6:C7"/>
    <mergeCell ref="B3:B4"/>
    <mergeCell ref="C3:C4"/>
    <mergeCell ref="A16:A1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21-22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pataka</dc:creator>
  <cp:lastModifiedBy>pataka</cp:lastModifiedBy>
  <cp:lastPrinted>2021-08-31T09:36:02Z</cp:lastPrinted>
  <dcterms:created xsi:type="dcterms:W3CDTF">2017-08-10T10:30:31Z</dcterms:created>
  <dcterms:modified xsi:type="dcterms:W3CDTF">2021-08-31T09:36:12Z</dcterms:modified>
</cp:coreProperties>
</file>